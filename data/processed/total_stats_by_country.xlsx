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MA\OneDrive\Desktop\BLOSSOM\PERSONAL PROJECT\"/>
    </mc:Choice>
  </mc:AlternateContent>
  <xr:revisionPtr revIDLastSave="0" documentId="13_ncr:1_{B4B97BD7-9D4D-4614-80A5-E4BB6EC3A2F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otal stats by Country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</calcChain>
</file>

<file path=xl/sharedStrings.xml><?xml version="1.0" encoding="utf-8"?>
<sst xmlns="http://schemas.openxmlformats.org/spreadsheetml/2006/main" count="446" uniqueCount="446">
  <si>
    <t>Rank</t>
  </si>
  <si>
    <t>Country / Territory</t>
  </si>
  <si>
    <t>Code</t>
  </si>
  <si>
    <t>Total Deaths (All Years)</t>
  </si>
  <si>
    <t>Meningitis</t>
  </si>
  <si>
    <t>Alzheimer's Disease and Other Dementias</t>
  </si>
  <si>
    <t>Parkinson's Disease</t>
  </si>
  <si>
    <t>Nutritional Deficiencies</t>
  </si>
  <si>
    <t>Malaria</t>
  </si>
  <si>
    <t>Drowning</t>
  </si>
  <si>
    <t>Interpersonal Violence</t>
  </si>
  <si>
    <t>Maternal Disorders</t>
  </si>
  <si>
    <t>HIV/AIDS</t>
  </si>
  <si>
    <t>Drug Use Disorders</t>
  </si>
  <si>
    <t>Tuberculosis</t>
  </si>
  <si>
    <t>Cardiovascular Diseases</t>
  </si>
  <si>
    <t>Lower Respiratory Infections</t>
  </si>
  <si>
    <t>Neonatal Disorders</t>
  </si>
  <si>
    <t>Alcohol Use Disorders</t>
  </si>
  <si>
    <t>Self-harm</t>
  </si>
  <si>
    <t>Exposure to Forces of Nature</t>
  </si>
  <si>
    <t>Diarrheal Diseases</t>
  </si>
  <si>
    <t>Environmental Heat and Cold Exposure</t>
  </si>
  <si>
    <t>Neoplasms</t>
  </si>
  <si>
    <t>Conflict and Terrorism</t>
  </si>
  <si>
    <t>Diabetes Mellitus</t>
  </si>
  <si>
    <t>Chronic Kidney Disease</t>
  </si>
  <si>
    <t>Poisonings</t>
  </si>
  <si>
    <t>Protein-Energy Malnutrition</t>
  </si>
  <si>
    <t>Road Injuries</t>
  </si>
  <si>
    <t>Chronic Respiratory Diseases</t>
  </si>
  <si>
    <t>Cirrhosis and Other Chronic Liver Diseases</t>
  </si>
  <si>
    <t>Digestive Diseases</t>
  </si>
  <si>
    <t>Fire, Heat, and Hot Substances</t>
  </si>
  <si>
    <t>Acute Hepatitis</t>
  </si>
  <si>
    <t>China</t>
  </si>
  <si>
    <t>CHN</t>
  </si>
  <si>
    <t>India</t>
  </si>
  <si>
    <t>IND</t>
  </si>
  <si>
    <t>United States</t>
  </si>
  <si>
    <t>USA</t>
  </si>
  <si>
    <t>Russia</t>
  </si>
  <si>
    <t>RUS</t>
  </si>
  <si>
    <t>Indonesia</t>
  </si>
  <si>
    <t>IDN</t>
  </si>
  <si>
    <t>Nigeria</t>
  </si>
  <si>
    <t>NGA</t>
  </si>
  <si>
    <t>Pakistan</t>
  </si>
  <si>
    <t>PAK</t>
  </si>
  <si>
    <t>Brazil</t>
  </si>
  <si>
    <t>BRA</t>
  </si>
  <si>
    <t>Japan</t>
  </si>
  <si>
    <t>JPN</t>
  </si>
  <si>
    <t>Germany</t>
  </si>
  <si>
    <t>DEU</t>
  </si>
  <si>
    <t>Bangladesh</t>
  </si>
  <si>
    <t>BGD</t>
  </si>
  <si>
    <t>Ukraine</t>
  </si>
  <si>
    <t>UKR</t>
  </si>
  <si>
    <t>Ethiopia</t>
  </si>
  <si>
    <t>ETH</t>
  </si>
  <si>
    <t>Democratic Republic of Congo</t>
  </si>
  <si>
    <t>COD</t>
  </si>
  <si>
    <t>United Kingdom</t>
  </si>
  <si>
    <t>GBR</t>
  </si>
  <si>
    <t>Italy</t>
  </si>
  <si>
    <t>ITA</t>
  </si>
  <si>
    <t>South Africa</t>
  </si>
  <si>
    <t>ZAF</t>
  </si>
  <si>
    <t>Mexico</t>
  </si>
  <si>
    <t>MEX</t>
  </si>
  <si>
    <t>France</t>
  </si>
  <si>
    <t>FRA</t>
  </si>
  <si>
    <t>Egypt</t>
  </si>
  <si>
    <t>EGY</t>
  </si>
  <si>
    <t>Vietnam</t>
  </si>
  <si>
    <t>VNM</t>
  </si>
  <si>
    <t>Philippines</t>
  </si>
  <si>
    <t>PHL</t>
  </si>
  <si>
    <t>Myanmar</t>
  </si>
  <si>
    <t>MMR</t>
  </si>
  <si>
    <t>Thailand</t>
  </si>
  <si>
    <t>THA</t>
  </si>
  <si>
    <t>Tanzania</t>
  </si>
  <si>
    <t>TZA</t>
  </si>
  <si>
    <t>Poland</t>
  </si>
  <si>
    <t>POL</t>
  </si>
  <si>
    <t>Spain</t>
  </si>
  <si>
    <t>ESP</t>
  </si>
  <si>
    <t>Turkey</t>
  </si>
  <si>
    <t>TUR</t>
  </si>
  <si>
    <t>Iran</t>
  </si>
  <si>
    <t>IRN</t>
  </si>
  <si>
    <t>Kenya</t>
  </si>
  <si>
    <t>KEN</t>
  </si>
  <si>
    <t>Uganda</t>
  </si>
  <si>
    <t>UGA</t>
  </si>
  <si>
    <t>Argentina</t>
  </si>
  <si>
    <t>ARG</t>
  </si>
  <si>
    <t>Romania</t>
  </si>
  <si>
    <t>ROU</t>
  </si>
  <si>
    <t>South Korea</t>
  </si>
  <si>
    <t>KOR</t>
  </si>
  <si>
    <t>Mozambique</t>
  </si>
  <si>
    <t>MOZ</t>
  </si>
  <si>
    <t>North Korea</t>
  </si>
  <si>
    <t>PRK</t>
  </si>
  <si>
    <t>Canada</t>
  </si>
  <si>
    <t>CAN</t>
  </si>
  <si>
    <t>Sudan</t>
  </si>
  <si>
    <t>SDN</t>
  </si>
  <si>
    <t>Afghanistan</t>
  </si>
  <si>
    <t>AFG</t>
  </si>
  <si>
    <t>Colombia</t>
  </si>
  <si>
    <t>COL</t>
  </si>
  <si>
    <t>Cote d'Ivoire</t>
  </si>
  <si>
    <t>CIV</t>
  </si>
  <si>
    <t>Uzbekistan</t>
  </si>
  <si>
    <t>UZB</t>
  </si>
  <si>
    <t>Morocco</t>
  </si>
  <si>
    <t>MAR</t>
  </si>
  <si>
    <t>Ghana</t>
  </si>
  <si>
    <t>GHA</t>
  </si>
  <si>
    <t>Angola</t>
  </si>
  <si>
    <t>AGO</t>
  </si>
  <si>
    <t>Nepal</t>
  </si>
  <si>
    <t>NPL</t>
  </si>
  <si>
    <t>Cameroon</t>
  </si>
  <si>
    <t>CMR</t>
  </si>
  <si>
    <t>Mali</t>
  </si>
  <si>
    <t>MLI</t>
  </si>
  <si>
    <t>Niger</t>
  </si>
  <si>
    <t>NER</t>
  </si>
  <si>
    <t>Burkina Faso</t>
  </si>
  <si>
    <t>BFA</t>
  </si>
  <si>
    <t>Malawi</t>
  </si>
  <si>
    <t>MWI</t>
  </si>
  <si>
    <t>Algeria</t>
  </si>
  <si>
    <t>DZA</t>
  </si>
  <si>
    <t>Kazakhstan</t>
  </si>
  <si>
    <t>KAZ</t>
  </si>
  <si>
    <t>Madagascar</t>
  </si>
  <si>
    <t>MDG</t>
  </si>
  <si>
    <t>Zimbabwe</t>
  </si>
  <si>
    <t>ZWE</t>
  </si>
  <si>
    <t>Iraq</t>
  </si>
  <si>
    <t>IRQ</t>
  </si>
  <si>
    <t>Zambia</t>
  </si>
  <si>
    <t>ZMB</t>
  </si>
  <si>
    <t>Taiwan</t>
  </si>
  <si>
    <t>TWN</t>
  </si>
  <si>
    <t>Yemen</t>
  </si>
  <si>
    <t>YEM</t>
  </si>
  <si>
    <t>Somalia</t>
  </si>
  <si>
    <t>SOM</t>
  </si>
  <si>
    <t>Hungary</t>
  </si>
  <si>
    <t>HUN</t>
  </si>
  <si>
    <t>Netherlands</t>
  </si>
  <si>
    <t>NLD</t>
  </si>
  <si>
    <t>Australia</t>
  </si>
  <si>
    <t>AUS</t>
  </si>
  <si>
    <t>Belarus</t>
  </si>
  <si>
    <t>BLR</t>
  </si>
  <si>
    <t>Peru</t>
  </si>
  <si>
    <t>PER</t>
  </si>
  <si>
    <t>Bulgaria</t>
  </si>
  <si>
    <t>BGR</t>
  </si>
  <si>
    <t>Venezuela</t>
  </si>
  <si>
    <t>VEN</t>
  </si>
  <si>
    <t>Chad</t>
  </si>
  <si>
    <t>TCD</t>
  </si>
  <si>
    <t>Sri Lanka</t>
  </si>
  <si>
    <t>LKA</t>
  </si>
  <si>
    <t>Malaysia</t>
  </si>
  <si>
    <t>MYS</t>
  </si>
  <si>
    <t>Serbia</t>
  </si>
  <si>
    <t>SRB</t>
  </si>
  <si>
    <t>Czechia</t>
  </si>
  <si>
    <t>CZE</t>
  </si>
  <si>
    <t>Cambodia</t>
  </si>
  <si>
    <t>KHM</t>
  </si>
  <si>
    <t>Guinea</t>
  </si>
  <si>
    <t>GIN</t>
  </si>
  <si>
    <t>Greece</t>
  </si>
  <si>
    <t>GRC</t>
  </si>
  <si>
    <t>Portugal</t>
  </si>
  <si>
    <t>PRT</t>
  </si>
  <si>
    <t>Rwanda</t>
  </si>
  <si>
    <t>RWA</t>
  </si>
  <si>
    <t>Belgium</t>
  </si>
  <si>
    <t>BEL</t>
  </si>
  <si>
    <t>Burundi</t>
  </si>
  <si>
    <t>BDI</t>
  </si>
  <si>
    <t>Haiti</t>
  </si>
  <si>
    <t>HTI</t>
  </si>
  <si>
    <t>Sweden</t>
  </si>
  <si>
    <t>SWE</t>
  </si>
  <si>
    <t>Saudi Arabia</t>
  </si>
  <si>
    <t>SAU</t>
  </si>
  <si>
    <t>Chile</t>
  </si>
  <si>
    <t>CHL</t>
  </si>
  <si>
    <t>Senegal</t>
  </si>
  <si>
    <t>SEN</t>
  </si>
  <si>
    <t>Cuba</t>
  </si>
  <si>
    <t>CUB</t>
  </si>
  <si>
    <t>Guatemala</t>
  </si>
  <si>
    <t>GTM</t>
  </si>
  <si>
    <t>Syria</t>
  </si>
  <si>
    <t>SYR</t>
  </si>
  <si>
    <t>South Sudan</t>
  </si>
  <si>
    <t>SSD</t>
  </si>
  <si>
    <t>Austria</t>
  </si>
  <si>
    <t>AUT</t>
  </si>
  <si>
    <t>Benin</t>
  </si>
  <si>
    <t>BEN</t>
  </si>
  <si>
    <t>Ecuador</t>
  </si>
  <si>
    <t>ECU</t>
  </si>
  <si>
    <t>Azerbaijan</t>
  </si>
  <si>
    <t>AZE</t>
  </si>
  <si>
    <t>Sierra Leone</t>
  </si>
  <si>
    <t>SLE</t>
  </si>
  <si>
    <t>Central African Republic</t>
  </si>
  <si>
    <t>CAF</t>
  </si>
  <si>
    <t>Bolivia</t>
  </si>
  <si>
    <t>BOL</t>
  </si>
  <si>
    <t>Switzerland</t>
  </si>
  <si>
    <t>CHE</t>
  </si>
  <si>
    <t>Denmark</t>
  </si>
  <si>
    <t>DNK</t>
  </si>
  <si>
    <t>Georgia</t>
  </si>
  <si>
    <t>GEO</t>
  </si>
  <si>
    <t>Slovakia</t>
  </si>
  <si>
    <t>SVK</t>
  </si>
  <si>
    <t>Dominican Republic</t>
  </si>
  <si>
    <t>DOM</t>
  </si>
  <si>
    <t>Tunisia</t>
  </si>
  <si>
    <t>TUN</t>
  </si>
  <si>
    <t>Croatia</t>
  </si>
  <si>
    <t>HRV</t>
  </si>
  <si>
    <t>Togo</t>
  </si>
  <si>
    <t>TGO</t>
  </si>
  <si>
    <t>Finland</t>
  </si>
  <si>
    <t>FIN</t>
  </si>
  <si>
    <t>Laos</t>
  </si>
  <si>
    <t>LAO</t>
  </si>
  <si>
    <t>Moldova</t>
  </si>
  <si>
    <t>MDA</t>
  </si>
  <si>
    <t>Papua New Guinea</t>
  </si>
  <si>
    <t>PNG</t>
  </si>
  <si>
    <t>Tajikistan</t>
  </si>
  <si>
    <t>TJK</t>
  </si>
  <si>
    <t>Eritrea</t>
  </si>
  <si>
    <t>ERI</t>
  </si>
  <si>
    <t>Lithuania</t>
  </si>
  <si>
    <t>LTU</t>
  </si>
  <si>
    <t>Norway</t>
  </si>
  <si>
    <t>NOR</t>
  </si>
  <si>
    <t>Honduras</t>
  </si>
  <si>
    <t>HND</t>
  </si>
  <si>
    <t>Kyrgyzstan</t>
  </si>
  <si>
    <t>KGZ</t>
  </si>
  <si>
    <t>Israel</t>
  </si>
  <si>
    <t>ISR</t>
  </si>
  <si>
    <t>Congo</t>
  </si>
  <si>
    <t>COG</t>
  </si>
  <si>
    <t>El Salvador</t>
  </si>
  <si>
    <t>SLV</t>
  </si>
  <si>
    <t>Bosnia and Herzegovina</t>
  </si>
  <si>
    <t>BIH</t>
  </si>
  <si>
    <t>Liberia</t>
  </si>
  <si>
    <t>LBR</t>
  </si>
  <si>
    <t>Latvia</t>
  </si>
  <si>
    <t>LVA</t>
  </si>
  <si>
    <t>Lesotho</t>
  </si>
  <si>
    <t>LSO</t>
  </si>
  <si>
    <t>Turkmenistan</t>
  </si>
  <si>
    <t>TKM</t>
  </si>
  <si>
    <t>Uruguay</t>
  </si>
  <si>
    <t>URY</t>
  </si>
  <si>
    <t>Ireland</t>
  </si>
  <si>
    <t>IRL</t>
  </si>
  <si>
    <t>Puerto Rico</t>
  </si>
  <si>
    <t>PRI</t>
  </si>
  <si>
    <t>New Zealand</t>
  </si>
  <si>
    <t>NZL</t>
  </si>
  <si>
    <t>Armenia</t>
  </si>
  <si>
    <t>ARM</t>
  </si>
  <si>
    <t>Lebanon</t>
  </si>
  <si>
    <t>LBN</t>
  </si>
  <si>
    <t>Paraguay</t>
  </si>
  <si>
    <t>PRY</t>
  </si>
  <si>
    <t>Nicaragua</t>
  </si>
  <si>
    <t>NIC</t>
  </si>
  <si>
    <t>Botswana</t>
  </si>
  <si>
    <t>BWA</t>
  </si>
  <si>
    <t>Mongolia</t>
  </si>
  <si>
    <t>MNG</t>
  </si>
  <si>
    <t>Libya</t>
  </si>
  <si>
    <t>LBY</t>
  </si>
  <si>
    <t>North Macedonia</t>
  </si>
  <si>
    <t>MKD</t>
  </si>
  <si>
    <t>Mauritania</t>
  </si>
  <si>
    <t>MRT</t>
  </si>
  <si>
    <t>Namibia</t>
  </si>
  <si>
    <t>NAM</t>
  </si>
  <si>
    <t>Slovenia</t>
  </si>
  <si>
    <t>SVN</t>
  </si>
  <si>
    <t>Jordan</t>
  </si>
  <si>
    <t>JOR</t>
  </si>
  <si>
    <t>Albania</t>
  </si>
  <si>
    <t>ALB</t>
  </si>
  <si>
    <t>Estonia</t>
  </si>
  <si>
    <t>EST</t>
  </si>
  <si>
    <t>Singapore</t>
  </si>
  <si>
    <t>SGP</t>
  </si>
  <si>
    <t>Costa Rica</t>
  </si>
  <si>
    <t>CRI</t>
  </si>
  <si>
    <t>Jamaica</t>
  </si>
  <si>
    <t>JAM</t>
  </si>
  <si>
    <t>Guinea-Bissau</t>
  </si>
  <si>
    <t>GNB</t>
  </si>
  <si>
    <t>Panama</t>
  </si>
  <si>
    <t>PAN</t>
  </si>
  <si>
    <t>Palestine</t>
  </si>
  <si>
    <t>PSE</t>
  </si>
  <si>
    <t>Eswatini</t>
  </si>
  <si>
    <t>SWZ</t>
  </si>
  <si>
    <t>United Arab Emirates</t>
  </si>
  <si>
    <t>ARE</t>
  </si>
  <si>
    <t>Gabon</t>
  </si>
  <si>
    <t>GAB</t>
  </si>
  <si>
    <t>Gambia</t>
  </si>
  <si>
    <t>GMB</t>
  </si>
  <si>
    <t>Oman</t>
  </si>
  <si>
    <t>OMN</t>
  </si>
  <si>
    <t>Trinidad and Tobago</t>
  </si>
  <si>
    <t>TTO</t>
  </si>
  <si>
    <t>Mauritius</t>
  </si>
  <si>
    <t>MUS</t>
  </si>
  <si>
    <t>Cyprus</t>
  </si>
  <si>
    <t>CYP</t>
  </si>
  <si>
    <t>Timor</t>
  </si>
  <si>
    <t>TLS</t>
  </si>
  <si>
    <t>Equatorial Guinea</t>
  </si>
  <si>
    <t>GNQ</t>
  </si>
  <si>
    <t>Guyana</t>
  </si>
  <si>
    <t>GUY</t>
  </si>
  <si>
    <t>Djibouti</t>
  </si>
  <si>
    <t>DJI</t>
  </si>
  <si>
    <t>Kuwait</t>
  </si>
  <si>
    <t>KWT</t>
  </si>
  <si>
    <t>Montenegro</t>
  </si>
  <si>
    <t>MNE</t>
  </si>
  <si>
    <t>Fiji</t>
  </si>
  <si>
    <t>FJI</t>
  </si>
  <si>
    <t>Comoros</t>
  </si>
  <si>
    <t>COM</t>
  </si>
  <si>
    <t>Solomon Islands</t>
  </si>
  <si>
    <t>SLB</t>
  </si>
  <si>
    <t>Bhutan</t>
  </si>
  <si>
    <t>BTN</t>
  </si>
  <si>
    <t>Luxembourg</t>
  </si>
  <si>
    <t>LUX</t>
  </si>
  <si>
    <t>Suriname</t>
  </si>
  <si>
    <t>SUR</t>
  </si>
  <si>
    <t>Malta</t>
  </si>
  <si>
    <t>MLT</t>
  </si>
  <si>
    <t>Cape Verde</t>
  </si>
  <si>
    <t>CPV</t>
  </si>
  <si>
    <t>Bahrain</t>
  </si>
  <si>
    <t>BHR</t>
  </si>
  <si>
    <t>Barbados</t>
  </si>
  <si>
    <t>BRB</t>
  </si>
  <si>
    <t>Qatar</t>
  </si>
  <si>
    <t>QAT</t>
  </si>
  <si>
    <t>Bahamas</t>
  </si>
  <si>
    <t>BHS</t>
  </si>
  <si>
    <t>Iceland</t>
  </si>
  <si>
    <t>ISL</t>
  </si>
  <si>
    <t>Vanuatu</t>
  </si>
  <si>
    <t>VUT</t>
  </si>
  <si>
    <t>Belize</t>
  </si>
  <si>
    <t>BLZ</t>
  </si>
  <si>
    <t>Brunei</t>
  </si>
  <si>
    <t>BRN</t>
  </si>
  <si>
    <t>Samoa</t>
  </si>
  <si>
    <t>WSM</t>
  </si>
  <si>
    <t>Maldives</t>
  </si>
  <si>
    <t>MDV</t>
  </si>
  <si>
    <t>Sao Tome and Principe</t>
  </si>
  <si>
    <t>STP</t>
  </si>
  <si>
    <t>Kiribati</t>
  </si>
  <si>
    <t>KIR</t>
  </si>
  <si>
    <t>Saint Lucia</t>
  </si>
  <si>
    <t>LCA</t>
  </si>
  <si>
    <t>United States Virgin Islands</t>
  </si>
  <si>
    <t>VIR</t>
  </si>
  <si>
    <t>Micronesia</t>
  </si>
  <si>
    <t>FSM</t>
  </si>
  <si>
    <t>Saint Vincent and the Grenadines</t>
  </si>
  <si>
    <t>VCT</t>
  </si>
  <si>
    <t>Guam</t>
  </si>
  <si>
    <t>GUM</t>
  </si>
  <si>
    <t>Grenada</t>
  </si>
  <si>
    <t>GRD</t>
  </si>
  <si>
    <t>Dominica</t>
  </si>
  <si>
    <t>DMA</t>
  </si>
  <si>
    <t>Seychelles</t>
  </si>
  <si>
    <t>SYC</t>
  </si>
  <si>
    <t>Tonga</t>
  </si>
  <si>
    <t>TON</t>
  </si>
  <si>
    <t>Monaco</t>
  </si>
  <si>
    <t>MCO</t>
  </si>
  <si>
    <t>Antigua and Barbuda</t>
  </si>
  <si>
    <t>ATG</t>
  </si>
  <si>
    <t>Bermuda</t>
  </si>
  <si>
    <t>BMU</t>
  </si>
  <si>
    <t>Greenland</t>
  </si>
  <si>
    <t>GRL</t>
  </si>
  <si>
    <t>Andorra</t>
  </si>
  <si>
    <t>AND</t>
  </si>
  <si>
    <t>Saint Kitts and Nevis</t>
  </si>
  <si>
    <t>KNA</t>
  </si>
  <si>
    <t>Marshall Islands</t>
  </si>
  <si>
    <t>MHL</t>
  </si>
  <si>
    <t>American Samoa</t>
  </si>
  <si>
    <t>ASM</t>
  </si>
  <si>
    <t>Northern Mariana Islands</t>
  </si>
  <si>
    <t>MNP</t>
  </si>
  <si>
    <t>San Marino</t>
  </si>
  <si>
    <t>SMR</t>
  </si>
  <si>
    <t>Palau</t>
  </si>
  <si>
    <t>PLW</t>
  </si>
  <si>
    <t>Cook Islands</t>
  </si>
  <si>
    <t>COK</t>
  </si>
  <si>
    <t>Tuvalu</t>
  </si>
  <si>
    <t>TUV</t>
  </si>
  <si>
    <t>Nauru</t>
  </si>
  <si>
    <t>NRU</t>
  </si>
  <si>
    <t>Niue</t>
  </si>
  <si>
    <t>NIU</t>
  </si>
  <si>
    <t>Tokelau</t>
  </si>
  <si>
    <t>TKL</t>
  </si>
  <si>
    <t>total males</t>
  </si>
  <si>
    <t>total pop</t>
  </si>
  <si>
    <t>total 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</si>
</sst>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EBF1F8"/>
        <bgColor rgb="FFEBF1F8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3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/>
    <xf numFmtId="49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/>
    <xf numFmtId="49" fontId="0" fillId="0" borderId="0" xfId="0" applyNumberFormat="1"/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/>
    </xf>
    <xf numFmtId="1" fontId="2" fillId="3" borderId="2" xfId="0" applyNumberFormat="1" applyFont="1" applyFill="1" applyBorder="1" applyAlignment="1">
      <alignment horizontal="right"/>
    </xf>
    <xf numFmtId="1" fontId="2" fillId="4" borderId="1" xfId="0" applyNumberFormat="1" applyFont="1" applyFill="1" applyBorder="1" applyAlignment="1">
      <alignment horizontal="right"/>
    </xf>
    <xf numFmtId="1" fontId="2" fillId="4" borderId="2" xfId="0" applyNumberFormat="1" applyFont="1" applyFill="1" applyBorder="1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solid">
          <fgColor rgb="FFEBF1F8"/>
          <bgColor rgb="FFEBF1F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solid">
          <fgColor rgb="FFEBF1F8"/>
          <bgColor rgb="FFEBF1F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solid">
          <fgColor rgb="FFEBF1F8"/>
          <bgColor rgb="FFEBF1F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border outline="0">
        <right style="thin">
          <color rgb="FFCCCCCC"/>
        </right>
        <top style="thin">
          <color rgb="FFCCCCCC"/>
        </top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F38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IAMA\OneDrive\Desktop\BLOSSOM\PERSONAL%20PROJECT\Popstar.xlsx" TargetMode="External"/><Relationship Id="rId1" Type="http://schemas.openxmlformats.org/officeDocument/2006/relationships/externalLinkPath" Target="Popst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le"/>
      <sheetName val="Female"/>
      <sheetName val="Total Male"/>
      <sheetName val="Population"/>
      <sheetName val="Data"/>
      <sheetName val="Causes"/>
      <sheetName val="Country"/>
      <sheetName val="Total Female"/>
      <sheetName val="Total Population"/>
      <sheetName val="Popstar"/>
      <sheetName val="cause_of_death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3DF2F0-0836-4D19-8C40-1035DEBB91DE}" name="Table1" displayName="Table1" ref="A1:AL205" totalsRowShown="0" headerRowDxfId="40" headerRowBorderDxfId="39" tableBorderDxfId="38">
  <autoFilter ref="A1:AL205" xr:uid="{9C3DF2F0-0836-4D19-8C40-1035DEBB91DE}"/>
  <tableColumns count="38">
    <tableColumn id="1" xr3:uid="{5FD480EF-D856-4C08-AAD5-FBE99A2F92A3}" name="Rank" dataDxfId="37"/>
    <tableColumn id="2" xr3:uid="{77A1A782-7333-4828-82A3-BBAFC4DD8E6B}" name="Country / Territory" dataDxfId="36"/>
    <tableColumn id="3" xr3:uid="{CC635A79-3869-4D38-A89D-0CFFDDDE92C5}" name="Code" dataDxfId="35"/>
    <tableColumn id="38" xr3:uid="{B1D68FAE-E6DF-4D6A-BB2F-DA7EB4ADE227}" name="total pop" dataDxfId="2">
      <calculatedColumnFormula>_xlfn.XLOOKUP(Table1[[#This Row],[Country / Territory]],[1]!Table9[Country],[1]!Table9[Total Pop],"None",0)</calculatedColumnFormula>
    </tableColumn>
    <tableColumn id="37" xr3:uid="{C3DFD982-BC23-4608-A549-4A452E77A50A}" name="total females" dataDxfId="1">
      <calculatedColumnFormula>_xlfn.XLOOKUP(Table1[[#This Row],[Country / Territory]],[1]!Table9[Country],[1]!Table9[Total F],"None",0)</calculatedColumnFormula>
    </tableColumn>
    <tableColumn id="36" xr3:uid="{A2B1D798-4CD4-4188-80C6-2F3865AAB39D}" name="total males" dataDxfId="0">
      <calculatedColumnFormula>_xlfn.XLOOKUP(Table1[[#This Row],[Country / Territory]],[1]!Table9[Country],[1]!Table9[Total M],"None",0)</calculatedColumnFormula>
    </tableColumn>
    <tableColumn id="4" xr3:uid="{DA12BD41-F3EB-452D-997D-0674995EF0B5}" name="Total Deaths (All Years)" dataDxfId="34"/>
    <tableColumn id="5" xr3:uid="{FF468A85-C162-4747-B56D-DA4A5BECDF6E}" name="Meningitis" dataDxfId="33"/>
    <tableColumn id="6" xr3:uid="{1EFE39D0-0A6E-4887-8AC1-6FDC42A18DCA}" name="Alzheimer's Disease and Other Dementias" dataDxfId="32"/>
    <tableColumn id="7" xr3:uid="{3E96C42A-7004-4616-9D44-877981DB9770}" name="Parkinson's Disease" dataDxfId="31"/>
    <tableColumn id="8" xr3:uid="{38964397-4BE3-4157-8F08-422C6241D413}" name="Nutritional Deficiencies" dataDxfId="30"/>
    <tableColumn id="9" xr3:uid="{6494E20F-E3DD-46EE-A40A-C2509734C998}" name="Malaria" dataDxfId="29"/>
    <tableColumn id="10" xr3:uid="{BBF0B1DB-62E8-4853-AA8F-DCA3EC6C0580}" name="Drowning" dataDxfId="28"/>
    <tableColumn id="11" xr3:uid="{D9FDD7B8-1FFB-4428-B7F1-E5A98A320D80}" name="Interpersonal Violence" dataDxfId="27"/>
    <tableColumn id="12" xr3:uid="{26F84D9C-BC37-4BF4-8E90-4002341CED2D}" name="Maternal Disorders" dataDxfId="26"/>
    <tableColumn id="13" xr3:uid="{B3AFF11C-5C26-47C2-82A6-B77FE3D7CE94}" name="HIV/AIDS" dataDxfId="25"/>
    <tableColumn id="14" xr3:uid="{50277872-7D29-4971-92A7-C269C2DB3701}" name="Drug Use Disorders" dataDxfId="24"/>
    <tableColumn id="15" xr3:uid="{96DCDFF7-F610-4703-A210-6656BAE7C49C}" name="Tuberculosis" dataDxfId="23"/>
    <tableColumn id="16" xr3:uid="{BBF73039-8D07-4697-AFB1-E07E6F8BCC67}" name="Cardiovascular Diseases" dataDxfId="22"/>
    <tableColumn id="17" xr3:uid="{55DE12AA-C69E-4AA2-BDE9-3AECBD81FE73}" name="Lower Respiratory Infections" dataDxfId="21"/>
    <tableColumn id="18" xr3:uid="{5B11FF5A-50C9-4C5E-9321-C45644CB04E3}" name="Neonatal Disorders" dataDxfId="20"/>
    <tableColumn id="19" xr3:uid="{0BFEF154-E492-456F-BCEB-4A98C38505C2}" name="Alcohol Use Disorders" dataDxfId="19"/>
    <tableColumn id="20" xr3:uid="{4ED8617E-6D7F-4E66-AE7D-1432CF403660}" name="Self-harm" dataDxfId="18"/>
    <tableColumn id="21" xr3:uid="{4F13AA7B-1471-42DF-BA67-C659A7775AF6}" name="Exposure to Forces of Nature" dataDxfId="17"/>
    <tableColumn id="22" xr3:uid="{99A29D89-5BD9-42EA-89D5-A9A8007ACA06}" name="Diarrheal Diseases" dataDxfId="16"/>
    <tableColumn id="23" xr3:uid="{B267ECBE-8E7D-4C6F-B1D4-A4FF3D02D195}" name="Environmental Heat and Cold Exposure" dataDxfId="15"/>
    <tableColumn id="24" xr3:uid="{ECD7A25C-87C1-4EC1-84D5-F5498355C0E3}" name="Neoplasms" dataDxfId="14"/>
    <tableColumn id="25" xr3:uid="{FF6E794D-AEE5-4906-AB42-DC4031811E3A}" name="Conflict and Terrorism" dataDxfId="13"/>
    <tableColumn id="26" xr3:uid="{73CC0AF9-5291-4AA8-B0D6-0BACB0920EBE}" name="Diabetes Mellitus" dataDxfId="12"/>
    <tableColumn id="27" xr3:uid="{FF6C4ED6-4662-4C8C-AF56-E4657C4A8288}" name="Chronic Kidney Disease" dataDxfId="11"/>
    <tableColumn id="28" xr3:uid="{7AFF0226-CD9F-47B9-9083-EE1E92E19674}" name="Poisonings" dataDxfId="10"/>
    <tableColumn id="29" xr3:uid="{D3D73F43-3673-4970-8686-7F63240B2EF8}" name="Protein-Energy Malnutrition" dataDxfId="9"/>
    <tableColumn id="30" xr3:uid="{2C9C89B2-9A1E-45D7-8553-F10FD25D1ED0}" name="Road Injuries" dataDxfId="8"/>
    <tableColumn id="31" xr3:uid="{2F37AB5A-4C3E-449F-88C1-0F7642FF6E1D}" name="Chronic Respiratory Diseases" dataDxfId="7"/>
    <tableColumn id="32" xr3:uid="{A7877535-7FEE-4D49-9E1A-4975487C3812}" name="Cirrhosis and Other Chronic Liver Diseases" dataDxfId="6"/>
    <tableColumn id="33" xr3:uid="{5AA670DC-D21E-4B86-BC66-7A3F9C59E78A}" name="Digestive Diseases" dataDxfId="5"/>
    <tableColumn id="34" xr3:uid="{40B4FF96-DB22-4824-B407-B7BF850A0AEF}" name="Fire, Heat, and Hot Substances" dataDxfId="4"/>
    <tableColumn id="35" xr3:uid="{B306909E-3208-41F1-9DAF-A0635FC39A45}" name="Acute Hepatitis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05"/>
  <sheetViews>
    <sheetView tabSelected="1" workbookViewId="0">
      <pane xSplit="7" ySplit="1" topLeftCell="H2" activePane="bottomRight" state="frozen"/>
      <selection pane="topRight"/>
      <selection pane="bottomLeft"/>
      <selection pane="bottomRight" activeCell="E11" sqref="E11"/>
    </sheetView>
  </sheetViews>
  <sheetFormatPr defaultRowHeight="15" x14ac:dyDescent="0.25"/>
  <cols>
    <col min="1" max="1" width="7.7109375" style="6" customWidth="1"/>
    <col min="2" max="2" width="28" style="6" customWidth="1"/>
    <col min="3" max="3" width="7.85546875" style="6" customWidth="1"/>
    <col min="4" max="6" width="14.7109375" style="13" bestFit="1" customWidth="1"/>
    <col min="7" max="7" width="24.140625" style="13" customWidth="1"/>
    <col min="8" max="8" width="20" style="13" customWidth="1"/>
    <col min="9" max="9" width="41" style="13" customWidth="1"/>
    <col min="10" max="10" width="21" style="13" customWidth="1"/>
    <col min="11" max="11" width="24.140625" style="13" customWidth="1"/>
    <col min="12" max="13" width="20" style="13" customWidth="1"/>
    <col min="14" max="14" width="23.7109375" style="13" customWidth="1"/>
    <col min="15" max="15" width="20.140625" style="13" customWidth="1"/>
    <col min="16" max="16" width="20" style="13" customWidth="1"/>
    <col min="17" max="17" width="20.28515625" style="13" customWidth="1"/>
    <col min="18" max="18" width="20" style="13" customWidth="1"/>
    <col min="19" max="19" width="25.140625" style="13" customWidth="1"/>
    <col min="20" max="20" width="29" style="13" customWidth="1"/>
    <col min="21" max="21" width="20.28515625" style="13" customWidth="1"/>
    <col min="22" max="22" width="22.85546875" style="13" customWidth="1"/>
    <col min="23" max="23" width="20" style="13" customWidth="1"/>
    <col min="24" max="24" width="29.28515625" style="13" customWidth="1"/>
    <col min="25" max="25" width="20" style="13" customWidth="1"/>
    <col min="26" max="26" width="38.7109375" style="13" customWidth="1"/>
    <col min="27" max="27" width="20" style="13" customWidth="1"/>
    <col min="28" max="28" width="23.28515625" style="13" customWidth="1"/>
    <col min="29" max="29" width="20" style="13" customWidth="1"/>
    <col min="30" max="30" width="24.5703125" style="13" customWidth="1"/>
    <col min="31" max="31" width="20" style="13" customWidth="1"/>
    <col min="32" max="32" width="28" style="13" customWidth="1"/>
    <col min="33" max="33" width="20" style="13" customWidth="1"/>
    <col min="34" max="34" width="29.42578125" style="13" customWidth="1"/>
    <col min="35" max="35" width="41.7109375" style="13" customWidth="1"/>
    <col min="36" max="36" width="20" style="13" customWidth="1"/>
    <col min="37" max="37" width="31" style="13" customWidth="1"/>
    <col min="38" max="38" width="20" style="13" customWidth="1"/>
  </cols>
  <sheetData>
    <row r="1" spans="1:38" ht="39.950000000000003" customHeight="1" x14ac:dyDescent="0.25">
      <c r="A1" s="1" t="s">
        <v>0</v>
      </c>
      <c r="B1" s="1" t="s">
        <v>1</v>
      </c>
      <c r="C1" s="1" t="s">
        <v>2</v>
      </c>
      <c r="D1" s="7" t="s">
        <v>444</v>
      </c>
      <c r="E1" s="7" t="s">
        <v>445</v>
      </c>
      <c r="F1" s="7" t="s">
        <v>443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8" t="s">
        <v>34</v>
      </c>
    </row>
    <row r="2" spans="1:38" x14ac:dyDescent="0.25">
      <c r="A2" s="2">
        <v>1</v>
      </c>
      <c r="B2" s="3" t="s">
        <v>35</v>
      </c>
      <c r="C2" s="2" t="s">
        <v>36</v>
      </c>
      <c r="D2" s="13">
        <f>_xlfn.XLOOKUP(Table1[[#This Row],[Country / Territory]],[1]!Table9[Country],[1]!Table9[Total Pop],"None",0)</f>
        <v>38702670000</v>
      </c>
      <c r="E2" s="13">
        <f>_xlfn.XLOOKUP(Table1[[#This Row],[Country / Territory]],[1]!Table9[Country],[1]!Table9[Total F],"None",0)</f>
        <v>18926088096</v>
      </c>
      <c r="F2" s="13">
        <f>_xlfn.XLOOKUP(Table1[[#This Row],[Country / Territory]],[1]!Table9[Country],[1]!Table9[Total M],"None",0)</f>
        <v>19776581904</v>
      </c>
      <c r="G2" s="9">
        <v>265408106</v>
      </c>
      <c r="H2" s="9">
        <v>480899</v>
      </c>
      <c r="I2" s="9">
        <v>5381846</v>
      </c>
      <c r="J2" s="9">
        <v>1533092</v>
      </c>
      <c r="K2" s="9">
        <v>584236</v>
      </c>
      <c r="L2" s="9">
        <v>13418</v>
      </c>
      <c r="M2" s="9">
        <v>2873619</v>
      </c>
      <c r="N2" s="9">
        <v>776275</v>
      </c>
      <c r="O2" s="9">
        <v>243257</v>
      </c>
      <c r="P2" s="9">
        <v>433709</v>
      </c>
      <c r="Q2" s="9">
        <v>626914</v>
      </c>
      <c r="R2" s="9">
        <v>2708461</v>
      </c>
      <c r="S2" s="9">
        <v>100505973</v>
      </c>
      <c r="T2" s="9">
        <v>8525819</v>
      </c>
      <c r="U2" s="9">
        <v>4353666</v>
      </c>
      <c r="V2" s="9">
        <v>485796</v>
      </c>
      <c r="W2" s="9">
        <v>5078550</v>
      </c>
      <c r="X2" s="9">
        <v>138961</v>
      </c>
      <c r="Y2" s="9">
        <v>886833</v>
      </c>
      <c r="Z2" s="9">
        <v>198582</v>
      </c>
      <c r="AA2" s="9">
        <v>61060527</v>
      </c>
      <c r="AB2" s="9">
        <v>3043</v>
      </c>
      <c r="AC2" s="9">
        <v>3468554</v>
      </c>
      <c r="AD2" s="9">
        <v>4195276</v>
      </c>
      <c r="AE2" s="9">
        <v>770140</v>
      </c>
      <c r="AF2" s="9">
        <v>507664</v>
      </c>
      <c r="AG2" s="9">
        <v>8350399</v>
      </c>
      <c r="AH2" s="9">
        <v>36676826</v>
      </c>
      <c r="AI2" s="9">
        <v>4918899</v>
      </c>
      <c r="AJ2" s="9">
        <v>8924906</v>
      </c>
      <c r="AK2" s="9">
        <v>383402</v>
      </c>
      <c r="AL2" s="10">
        <v>318564</v>
      </c>
    </row>
    <row r="3" spans="1:38" x14ac:dyDescent="0.25">
      <c r="A3" s="4">
        <v>2</v>
      </c>
      <c r="B3" s="5" t="s">
        <v>37</v>
      </c>
      <c r="C3" s="4" t="s">
        <v>38</v>
      </c>
      <c r="D3" s="13">
        <f>_xlfn.XLOOKUP(Table1[[#This Row],[Country / Territory]],[1]!Table9[Country],[1]!Table9[Total Pop],"None",0)</f>
        <v>34135849661</v>
      </c>
      <c r="E3" s="13">
        <f>_xlfn.XLOOKUP(Table1[[#This Row],[Country / Territory]],[1]!Table9[Country],[1]!Table9[Total F],"None",0)</f>
        <v>16487001293</v>
      </c>
      <c r="F3" s="13">
        <f>_xlfn.XLOOKUP(Table1[[#This Row],[Country / Territory]],[1]!Table9[Country],[1]!Table9[Total M],"None",0)</f>
        <v>17648848368</v>
      </c>
      <c r="G3" s="11">
        <v>238158165</v>
      </c>
      <c r="H3" s="11">
        <v>2008944</v>
      </c>
      <c r="I3" s="11">
        <v>1707561</v>
      </c>
      <c r="J3" s="11">
        <v>756832</v>
      </c>
      <c r="K3" s="11">
        <v>3290569</v>
      </c>
      <c r="L3" s="11">
        <v>2439244</v>
      </c>
      <c r="M3" s="11">
        <v>2110438</v>
      </c>
      <c r="N3" s="11">
        <v>1237163</v>
      </c>
      <c r="O3" s="11">
        <v>2292449</v>
      </c>
      <c r="P3" s="11">
        <v>2454374</v>
      </c>
      <c r="Q3" s="11">
        <v>168928</v>
      </c>
      <c r="R3" s="11">
        <v>15820922</v>
      </c>
      <c r="S3" s="11">
        <v>52994710</v>
      </c>
      <c r="T3" s="11">
        <v>16419404</v>
      </c>
      <c r="U3" s="11">
        <v>20911570</v>
      </c>
      <c r="V3" s="11">
        <v>527112</v>
      </c>
      <c r="W3" s="11">
        <v>5543395</v>
      </c>
      <c r="X3" s="11">
        <v>114044</v>
      </c>
      <c r="Y3" s="11">
        <v>26243547</v>
      </c>
      <c r="Z3" s="11">
        <v>334967</v>
      </c>
      <c r="AA3" s="11">
        <v>17762703</v>
      </c>
      <c r="AB3" s="11">
        <v>74430</v>
      </c>
      <c r="AC3" s="11">
        <v>4781169</v>
      </c>
      <c r="AD3" s="11">
        <v>4556172</v>
      </c>
      <c r="AE3" s="11">
        <v>170119</v>
      </c>
      <c r="AF3" s="11">
        <v>2356222</v>
      </c>
      <c r="AG3" s="11">
        <v>5346154</v>
      </c>
      <c r="AH3" s="11">
        <v>25232974</v>
      </c>
      <c r="AI3" s="11">
        <v>6294910</v>
      </c>
      <c r="AJ3" s="11">
        <v>11804380</v>
      </c>
      <c r="AK3" s="11">
        <v>730580</v>
      </c>
      <c r="AL3" s="12">
        <v>1672179</v>
      </c>
    </row>
    <row r="4" spans="1:38" x14ac:dyDescent="0.25">
      <c r="A4" s="2">
        <v>3</v>
      </c>
      <c r="B4" s="3" t="s">
        <v>39</v>
      </c>
      <c r="C4" s="2" t="s">
        <v>40</v>
      </c>
      <c r="D4" s="13">
        <f>_xlfn.XLOOKUP(Table1[[#This Row],[Country / Territory]],[1]!Table9[Country],[1]!Table9[Total Pop],"None",0)</f>
        <v>8792122506</v>
      </c>
      <c r="E4" s="13">
        <f>_xlfn.XLOOKUP(Table1[[#This Row],[Country / Territory]],[1]!Table9[Country],[1]!Table9[Total F],"None",0)</f>
        <v>4416295908</v>
      </c>
      <c r="F4" s="13">
        <f>_xlfn.XLOOKUP(Table1[[#This Row],[Country / Territory]],[1]!Table9[Country],[1]!Table9[Total M],"None",0)</f>
        <v>4375826598</v>
      </c>
      <c r="G4" s="9">
        <v>71197802</v>
      </c>
      <c r="H4" s="9">
        <v>40032</v>
      </c>
      <c r="I4" s="9">
        <v>3302609</v>
      </c>
      <c r="J4" s="9">
        <v>661288</v>
      </c>
      <c r="K4" s="9">
        <v>133044</v>
      </c>
      <c r="L4" s="9">
        <v>0</v>
      </c>
      <c r="M4" s="9">
        <v>114752</v>
      </c>
      <c r="N4" s="9">
        <v>596818</v>
      </c>
      <c r="O4" s="9">
        <v>25206</v>
      </c>
      <c r="P4" s="9">
        <v>528417</v>
      </c>
      <c r="Q4" s="9">
        <v>800798</v>
      </c>
      <c r="R4" s="9">
        <v>38127</v>
      </c>
      <c r="S4" s="9">
        <v>26438346</v>
      </c>
      <c r="T4" s="9">
        <v>2248625</v>
      </c>
      <c r="U4" s="9">
        <v>429516</v>
      </c>
      <c r="V4" s="9">
        <v>309757</v>
      </c>
      <c r="W4" s="9">
        <v>1168886</v>
      </c>
      <c r="X4" s="9">
        <v>10712</v>
      </c>
      <c r="Y4" s="9">
        <v>199602</v>
      </c>
      <c r="Z4" s="9">
        <v>40402</v>
      </c>
      <c r="AA4" s="9">
        <v>18905315</v>
      </c>
      <c r="AB4" s="9">
        <v>12506</v>
      </c>
      <c r="AC4" s="9">
        <v>2030631</v>
      </c>
      <c r="AD4" s="9">
        <v>2018497</v>
      </c>
      <c r="AE4" s="9">
        <v>40259</v>
      </c>
      <c r="AF4" s="9">
        <v>121030</v>
      </c>
      <c r="AG4" s="9">
        <v>1359744</v>
      </c>
      <c r="AH4" s="9">
        <v>4949052</v>
      </c>
      <c r="AI4" s="9">
        <v>1514325</v>
      </c>
      <c r="AJ4" s="9">
        <v>3026943</v>
      </c>
      <c r="AK4" s="9">
        <v>126712</v>
      </c>
      <c r="AL4" s="10">
        <v>5851</v>
      </c>
    </row>
    <row r="5" spans="1:38" x14ac:dyDescent="0.25">
      <c r="A5" s="4">
        <v>4</v>
      </c>
      <c r="B5" s="5" t="s">
        <v>41</v>
      </c>
      <c r="C5" s="4" t="s">
        <v>42</v>
      </c>
      <c r="D5" s="13">
        <f>_xlfn.XLOOKUP(Table1[[#This Row],[Country / Territory]],[1]!Table9[Country],[1]!Table9[Total Pop],"None",0)</f>
        <v>4365692210</v>
      </c>
      <c r="E5" s="13">
        <f>_xlfn.XLOOKUP(Table1[[#This Row],[Country / Territory]],[1]!Table9[Country],[1]!Table9[Total F],"None",0)</f>
        <v>2332993524</v>
      </c>
      <c r="F5" s="13">
        <f>_xlfn.XLOOKUP(Table1[[#This Row],[Country / Territory]],[1]!Table9[Country],[1]!Table9[Total M],"None",0)</f>
        <v>2032698686</v>
      </c>
      <c r="G5" s="11">
        <v>59591155</v>
      </c>
      <c r="H5" s="11">
        <v>60519</v>
      </c>
      <c r="I5" s="11">
        <v>972305</v>
      </c>
      <c r="J5" s="11">
        <v>236367</v>
      </c>
      <c r="K5" s="11">
        <v>15906</v>
      </c>
      <c r="L5" s="11">
        <v>0</v>
      </c>
      <c r="M5" s="11">
        <v>423044</v>
      </c>
      <c r="N5" s="11">
        <v>1215179</v>
      </c>
      <c r="O5" s="11">
        <v>15028</v>
      </c>
      <c r="P5" s="11">
        <v>350679</v>
      </c>
      <c r="Q5" s="11">
        <v>259452</v>
      </c>
      <c r="R5" s="11">
        <v>529853</v>
      </c>
      <c r="S5" s="11">
        <v>33903781</v>
      </c>
      <c r="T5" s="11">
        <v>1113475</v>
      </c>
      <c r="U5" s="11">
        <v>237923</v>
      </c>
      <c r="V5" s="11">
        <v>1194672</v>
      </c>
      <c r="W5" s="11">
        <v>1793855</v>
      </c>
      <c r="X5" s="11">
        <v>3086</v>
      </c>
      <c r="Y5" s="11">
        <v>27964</v>
      </c>
      <c r="Z5" s="11">
        <v>573771</v>
      </c>
      <c r="AA5" s="11">
        <v>9079313</v>
      </c>
      <c r="AB5" s="11">
        <v>39125</v>
      </c>
      <c r="AC5" s="11">
        <v>369649</v>
      </c>
      <c r="AD5" s="11">
        <v>325433</v>
      </c>
      <c r="AE5" s="11">
        <v>298954</v>
      </c>
      <c r="AF5" s="11">
        <v>8167</v>
      </c>
      <c r="AG5" s="11">
        <v>1067225</v>
      </c>
      <c r="AH5" s="11">
        <v>1518195</v>
      </c>
      <c r="AI5" s="11">
        <v>1233608</v>
      </c>
      <c r="AJ5" s="11">
        <v>2398456</v>
      </c>
      <c r="AK5" s="11">
        <v>322573</v>
      </c>
      <c r="AL5" s="12">
        <v>3598</v>
      </c>
    </row>
    <row r="6" spans="1:38" x14ac:dyDescent="0.25">
      <c r="A6" s="2">
        <v>5</v>
      </c>
      <c r="B6" s="3" t="s">
        <v>43</v>
      </c>
      <c r="C6" s="2" t="s">
        <v>44</v>
      </c>
      <c r="D6" s="13">
        <f>_xlfn.XLOOKUP(Table1[[#This Row],[Country / Territory]],[1]!Table9[Country],[1]!Table9[Total Pop],"None",0)</f>
        <v>6877600743</v>
      </c>
      <c r="E6" s="13">
        <f>_xlfn.XLOOKUP(Table1[[#This Row],[Country / Territory]],[1]!Table9[Country],[1]!Table9[Total F],"None",0)</f>
        <v>3429402337</v>
      </c>
      <c r="F6" s="13">
        <f>_xlfn.XLOOKUP(Table1[[#This Row],[Country / Territory]],[1]!Table9[Country],[1]!Table9[Total M],"None",0)</f>
        <v>3448198406</v>
      </c>
      <c r="G6" s="9">
        <v>44046941</v>
      </c>
      <c r="H6" s="9">
        <v>337724</v>
      </c>
      <c r="I6" s="9">
        <v>487566</v>
      </c>
      <c r="J6" s="9">
        <v>145752</v>
      </c>
      <c r="K6" s="9">
        <v>604467</v>
      </c>
      <c r="L6" s="9">
        <v>74664</v>
      </c>
      <c r="M6" s="9">
        <v>237902</v>
      </c>
      <c r="N6" s="9">
        <v>81342</v>
      </c>
      <c r="O6" s="9">
        <v>376966</v>
      </c>
      <c r="P6" s="9">
        <v>74981</v>
      </c>
      <c r="Q6" s="9">
        <v>12980</v>
      </c>
      <c r="R6" s="9">
        <v>3197011</v>
      </c>
      <c r="S6" s="9">
        <v>13587011</v>
      </c>
      <c r="T6" s="9">
        <v>1820769</v>
      </c>
      <c r="U6" s="9">
        <v>2238128</v>
      </c>
      <c r="V6" s="9">
        <v>16158</v>
      </c>
      <c r="W6" s="9">
        <v>223144</v>
      </c>
      <c r="X6" s="9">
        <v>191693</v>
      </c>
      <c r="Y6" s="9">
        <v>2590656</v>
      </c>
      <c r="Z6" s="9">
        <v>3614</v>
      </c>
      <c r="AA6" s="9">
        <v>4672674</v>
      </c>
      <c r="AB6" s="9">
        <v>7489</v>
      </c>
      <c r="AC6" s="9">
        <v>1888549</v>
      </c>
      <c r="AD6" s="9">
        <v>964478</v>
      </c>
      <c r="AE6" s="9">
        <v>27837</v>
      </c>
      <c r="AF6" s="9">
        <v>560546</v>
      </c>
      <c r="AG6" s="9">
        <v>1325509</v>
      </c>
      <c r="AH6" s="9">
        <v>2559457</v>
      </c>
      <c r="AI6" s="9">
        <v>2249388</v>
      </c>
      <c r="AJ6" s="9">
        <v>3204787</v>
      </c>
      <c r="AK6" s="9">
        <v>51790</v>
      </c>
      <c r="AL6" s="10">
        <v>231909</v>
      </c>
    </row>
    <row r="7" spans="1:38" x14ac:dyDescent="0.25">
      <c r="A7" s="4">
        <v>6</v>
      </c>
      <c r="B7" s="5" t="s">
        <v>45</v>
      </c>
      <c r="C7" s="4" t="s">
        <v>46</v>
      </c>
      <c r="D7" s="13">
        <f>_xlfn.XLOOKUP(Table1[[#This Row],[Country / Territory]],[1]!Table9[Country],[1]!Table9[Total Pop],"None",0)</f>
        <v>4413441326</v>
      </c>
      <c r="E7" s="13">
        <f>_xlfn.XLOOKUP(Table1[[#This Row],[Country / Territory]],[1]!Table9[Country],[1]!Table9[Total F],"None",0)</f>
        <v>2196386339</v>
      </c>
      <c r="F7" s="13">
        <f>_xlfn.XLOOKUP(Table1[[#This Row],[Country / Territory]],[1]!Table9[Country],[1]!Table9[Total M],"None",0)</f>
        <v>2217054987</v>
      </c>
      <c r="G7" s="11">
        <v>43670014</v>
      </c>
      <c r="H7" s="11">
        <v>1520376</v>
      </c>
      <c r="I7" s="11">
        <v>241713</v>
      </c>
      <c r="J7" s="11">
        <v>66545</v>
      </c>
      <c r="K7" s="11">
        <v>286858</v>
      </c>
      <c r="L7" s="11">
        <v>6422063</v>
      </c>
      <c r="M7" s="11">
        <v>103723</v>
      </c>
      <c r="N7" s="11">
        <v>306846</v>
      </c>
      <c r="O7" s="11">
        <v>525566</v>
      </c>
      <c r="P7" s="11">
        <v>2216718</v>
      </c>
      <c r="Q7" s="11">
        <v>4897</v>
      </c>
      <c r="R7" s="11">
        <v>1769390</v>
      </c>
      <c r="S7" s="11">
        <v>4176488</v>
      </c>
      <c r="T7" s="11">
        <v>5917528</v>
      </c>
      <c r="U7" s="11">
        <v>5262229</v>
      </c>
      <c r="V7" s="11">
        <v>28341</v>
      </c>
      <c r="W7" s="11">
        <v>190297</v>
      </c>
      <c r="X7" s="11">
        <v>1899</v>
      </c>
      <c r="Y7" s="11">
        <v>7449328</v>
      </c>
      <c r="Z7" s="11">
        <v>26363</v>
      </c>
      <c r="AA7" s="11">
        <v>1618730</v>
      </c>
      <c r="AB7" s="11">
        <v>78908</v>
      </c>
      <c r="AC7" s="11">
        <v>541020</v>
      </c>
      <c r="AD7" s="11">
        <v>464656</v>
      </c>
      <c r="AE7" s="11">
        <v>107604</v>
      </c>
      <c r="AF7" s="11">
        <v>270470</v>
      </c>
      <c r="AG7" s="11">
        <v>487695</v>
      </c>
      <c r="AH7" s="11">
        <v>641714</v>
      </c>
      <c r="AI7" s="11">
        <v>995203</v>
      </c>
      <c r="AJ7" s="11">
        <v>1716202</v>
      </c>
      <c r="AK7" s="11">
        <v>110784</v>
      </c>
      <c r="AL7" s="12">
        <v>119860</v>
      </c>
    </row>
    <row r="8" spans="1:38" x14ac:dyDescent="0.25">
      <c r="A8" s="2">
        <v>7</v>
      </c>
      <c r="B8" s="3" t="s">
        <v>47</v>
      </c>
      <c r="C8" s="2" t="s">
        <v>48</v>
      </c>
      <c r="D8" s="13">
        <f>_xlfn.XLOOKUP(Table1[[#This Row],[Country / Territory]],[1]!Table9[Country],[1]!Table9[Total Pop],"None",0)</f>
        <v>5223987895</v>
      </c>
      <c r="E8" s="13">
        <f>_xlfn.XLOOKUP(Table1[[#This Row],[Country / Territory]],[1]!Table9[Country],[1]!Table9[Total F],"None",0)</f>
        <v>2537128725</v>
      </c>
      <c r="F8" s="13">
        <f>_xlfn.XLOOKUP(Table1[[#This Row],[Country / Territory]],[1]!Table9[Country],[1]!Table9[Total M],"None",0)</f>
        <v>2686859170</v>
      </c>
      <c r="G8" s="9">
        <v>38151878</v>
      </c>
      <c r="H8" s="9">
        <v>752870</v>
      </c>
      <c r="I8" s="9">
        <v>244109</v>
      </c>
      <c r="J8" s="9">
        <v>92715</v>
      </c>
      <c r="K8" s="9">
        <v>452930</v>
      </c>
      <c r="L8" s="9">
        <v>213590</v>
      </c>
      <c r="M8" s="9">
        <v>125812</v>
      </c>
      <c r="N8" s="9">
        <v>344555</v>
      </c>
      <c r="O8" s="9">
        <v>503820</v>
      </c>
      <c r="P8" s="9">
        <v>36968</v>
      </c>
      <c r="Q8" s="9">
        <v>17829</v>
      </c>
      <c r="R8" s="9">
        <v>2309703</v>
      </c>
      <c r="S8" s="9">
        <v>7745192</v>
      </c>
      <c r="T8" s="9">
        <v>2429268</v>
      </c>
      <c r="U8" s="9">
        <v>7753349</v>
      </c>
      <c r="V8" s="9">
        <v>45501</v>
      </c>
      <c r="W8" s="9">
        <v>380916</v>
      </c>
      <c r="X8" s="9">
        <v>88169</v>
      </c>
      <c r="Y8" s="9">
        <v>3187522</v>
      </c>
      <c r="Z8" s="9">
        <v>14001</v>
      </c>
      <c r="AA8" s="9">
        <v>3633069</v>
      </c>
      <c r="AB8" s="9">
        <v>67235</v>
      </c>
      <c r="AC8" s="9">
        <v>845343</v>
      </c>
      <c r="AD8" s="9">
        <v>874990</v>
      </c>
      <c r="AE8" s="9">
        <v>67217</v>
      </c>
      <c r="AF8" s="9">
        <v>296019</v>
      </c>
      <c r="AG8" s="9">
        <v>421970</v>
      </c>
      <c r="AH8" s="9">
        <v>2276479</v>
      </c>
      <c r="AI8" s="9">
        <v>1039240</v>
      </c>
      <c r="AJ8" s="9">
        <v>1523030</v>
      </c>
      <c r="AK8" s="9">
        <v>75442</v>
      </c>
      <c r="AL8" s="10">
        <v>293025</v>
      </c>
    </row>
    <row r="9" spans="1:38" x14ac:dyDescent="0.25">
      <c r="A9" s="4">
        <v>8</v>
      </c>
      <c r="B9" s="5" t="s">
        <v>49</v>
      </c>
      <c r="C9" s="4" t="s">
        <v>50</v>
      </c>
      <c r="D9" s="13">
        <f>_xlfn.XLOOKUP(Table1[[#This Row],[Country / Territory]],[1]!Table9[Country],[1]!Table9[Total Pop],"None",0)</f>
        <v>5446650211</v>
      </c>
      <c r="E9" s="13">
        <f>_xlfn.XLOOKUP(Table1[[#This Row],[Country / Territory]],[1]!Table9[Country],[1]!Table9[Total F],"None",0)</f>
        <v>2746796201</v>
      </c>
      <c r="F9" s="13">
        <f>_xlfn.XLOOKUP(Table1[[#This Row],[Country / Territory]],[1]!Table9[Country],[1]!Table9[Total M],"None",0)</f>
        <v>2699854010</v>
      </c>
      <c r="G9" s="11">
        <v>32674112</v>
      </c>
      <c r="H9" s="11">
        <v>136709</v>
      </c>
      <c r="I9" s="11">
        <v>924942</v>
      </c>
      <c r="J9" s="11">
        <v>171324</v>
      </c>
      <c r="K9" s="11">
        <v>333626</v>
      </c>
      <c r="L9" s="11">
        <v>39970</v>
      </c>
      <c r="M9" s="11">
        <v>250078</v>
      </c>
      <c r="N9" s="11">
        <v>1762967</v>
      </c>
      <c r="O9" s="11">
        <v>72806</v>
      </c>
      <c r="P9" s="11">
        <v>447733</v>
      </c>
      <c r="Q9" s="11">
        <v>15695</v>
      </c>
      <c r="R9" s="11">
        <v>223259</v>
      </c>
      <c r="S9" s="11">
        <v>9589019</v>
      </c>
      <c r="T9" s="11">
        <v>1997167</v>
      </c>
      <c r="U9" s="11">
        <v>1667293</v>
      </c>
      <c r="V9" s="11">
        <v>225603</v>
      </c>
      <c r="W9" s="11">
        <v>345404</v>
      </c>
      <c r="X9" s="11">
        <v>6817</v>
      </c>
      <c r="Y9" s="11">
        <v>528838</v>
      </c>
      <c r="Z9" s="11">
        <v>3037</v>
      </c>
      <c r="AA9" s="11">
        <v>5606779</v>
      </c>
      <c r="AB9" s="11">
        <v>598</v>
      </c>
      <c r="AC9" s="11">
        <v>1315755</v>
      </c>
      <c r="AD9" s="11">
        <v>820933</v>
      </c>
      <c r="AE9" s="11">
        <v>7754</v>
      </c>
      <c r="AF9" s="11">
        <v>312031</v>
      </c>
      <c r="AG9" s="11">
        <v>1352192</v>
      </c>
      <c r="AH9" s="11">
        <v>1743233</v>
      </c>
      <c r="AI9" s="11">
        <v>927027</v>
      </c>
      <c r="AJ9" s="11">
        <v>1776565</v>
      </c>
      <c r="AK9" s="11">
        <v>59981</v>
      </c>
      <c r="AL9" s="12">
        <v>8977</v>
      </c>
    </row>
    <row r="10" spans="1:38" x14ac:dyDescent="0.25">
      <c r="A10" s="2">
        <v>9</v>
      </c>
      <c r="B10" s="3" t="s">
        <v>51</v>
      </c>
      <c r="C10" s="2" t="s">
        <v>52</v>
      </c>
      <c r="D10" s="13">
        <f>_xlfn.XLOOKUP(Table1[[#This Row],[Country / Territory]],[1]!Table9[Country],[1]!Table9[Total Pop],"None",0)</f>
        <v>3801731000</v>
      </c>
      <c r="E10" s="13">
        <f>_xlfn.XLOOKUP(Table1[[#This Row],[Country / Territory]],[1]!Table9[Country],[1]!Table9[Total F],"None",0)</f>
        <v>1936014417</v>
      </c>
      <c r="F10" s="13">
        <f>_xlfn.XLOOKUP(Table1[[#This Row],[Country / Territory]],[1]!Table9[Country],[1]!Table9[Total M],"None",0)</f>
        <v>1865716583</v>
      </c>
      <c r="G10" s="9">
        <v>31922807</v>
      </c>
      <c r="H10" s="9">
        <v>14330</v>
      </c>
      <c r="I10" s="9">
        <v>2638908</v>
      </c>
      <c r="J10" s="9">
        <v>308327</v>
      </c>
      <c r="K10" s="9">
        <v>38101</v>
      </c>
      <c r="L10" s="9">
        <v>0</v>
      </c>
      <c r="M10" s="9">
        <v>189041</v>
      </c>
      <c r="N10" s="9">
        <v>28447</v>
      </c>
      <c r="O10" s="9">
        <v>2698</v>
      </c>
      <c r="P10" s="9">
        <v>5140</v>
      </c>
      <c r="Q10" s="9">
        <v>12254</v>
      </c>
      <c r="R10" s="9">
        <v>135757</v>
      </c>
      <c r="S10" s="9">
        <v>9210437</v>
      </c>
      <c r="T10" s="9">
        <v>2659196</v>
      </c>
      <c r="U10" s="9">
        <v>32849</v>
      </c>
      <c r="V10" s="9">
        <v>21091</v>
      </c>
      <c r="W10" s="9">
        <v>861712</v>
      </c>
      <c r="X10" s="9">
        <v>27540</v>
      </c>
      <c r="Y10" s="9">
        <v>67308</v>
      </c>
      <c r="Z10" s="9">
        <v>43462</v>
      </c>
      <c r="AA10" s="9">
        <v>10530449</v>
      </c>
      <c r="AB10" s="9">
        <v>78</v>
      </c>
      <c r="AC10" s="9">
        <v>251165</v>
      </c>
      <c r="AD10" s="9">
        <v>966881</v>
      </c>
      <c r="AE10" s="9">
        <v>12372</v>
      </c>
      <c r="AF10" s="9">
        <v>27908</v>
      </c>
      <c r="AG10" s="9">
        <v>327979</v>
      </c>
      <c r="AH10" s="9">
        <v>1231229</v>
      </c>
      <c r="AI10" s="9">
        <v>755502</v>
      </c>
      <c r="AJ10" s="9">
        <v>1463405</v>
      </c>
      <c r="AK10" s="9">
        <v>52365</v>
      </c>
      <c r="AL10" s="10">
        <v>6876</v>
      </c>
    </row>
    <row r="11" spans="1:38" x14ac:dyDescent="0.25">
      <c r="A11" s="4">
        <v>10</v>
      </c>
      <c r="B11" s="5" t="s">
        <v>53</v>
      </c>
      <c r="C11" s="4" t="s">
        <v>54</v>
      </c>
      <c r="D11" s="13">
        <f>_xlfn.XLOOKUP(Table1[[#This Row],[Country / Territory]],[1]!Table9[Country],[1]!Table9[Total Pop],"None",0)</f>
        <v>2452463205</v>
      </c>
      <c r="E11" s="13">
        <f>_xlfn.XLOOKUP(Table1[[#This Row],[Country / Territory]],[1]!Table9[Country],[1]!Table9[Total F],"None",0)</f>
        <v>1255944609</v>
      </c>
      <c r="F11" s="13">
        <f>_xlfn.XLOOKUP(Table1[[#This Row],[Country / Territory]],[1]!Table9[Country],[1]!Table9[Total M],"None",0)</f>
        <v>1196518596</v>
      </c>
      <c r="G11" s="11">
        <v>25559667</v>
      </c>
      <c r="H11" s="11">
        <v>10086</v>
      </c>
      <c r="I11" s="11">
        <v>1114977</v>
      </c>
      <c r="J11" s="11">
        <v>264727</v>
      </c>
      <c r="K11" s="11">
        <v>11627</v>
      </c>
      <c r="L11" s="11">
        <v>0</v>
      </c>
      <c r="M11" s="11">
        <v>17698</v>
      </c>
      <c r="N11" s="11">
        <v>24943</v>
      </c>
      <c r="O11" s="11">
        <v>1488</v>
      </c>
      <c r="P11" s="11">
        <v>28389</v>
      </c>
      <c r="Q11" s="11">
        <v>43072</v>
      </c>
      <c r="R11" s="11">
        <v>24383</v>
      </c>
      <c r="S11" s="11">
        <v>10819770</v>
      </c>
      <c r="T11" s="11">
        <v>603119</v>
      </c>
      <c r="U11" s="11">
        <v>46185</v>
      </c>
      <c r="V11" s="11">
        <v>180344</v>
      </c>
      <c r="W11" s="11">
        <v>377986</v>
      </c>
      <c r="X11" s="11">
        <v>280</v>
      </c>
      <c r="Y11" s="11">
        <v>66744</v>
      </c>
      <c r="Z11" s="11">
        <v>5408</v>
      </c>
      <c r="AA11" s="11">
        <v>7325650</v>
      </c>
      <c r="AB11" s="11">
        <v>387</v>
      </c>
      <c r="AC11" s="11">
        <v>621575</v>
      </c>
      <c r="AD11" s="11">
        <v>616900</v>
      </c>
      <c r="AE11" s="11">
        <v>3303</v>
      </c>
      <c r="AF11" s="11">
        <v>8354</v>
      </c>
      <c r="AG11" s="11">
        <v>211341</v>
      </c>
      <c r="AH11" s="11">
        <v>1117582</v>
      </c>
      <c r="AI11" s="11">
        <v>654268</v>
      </c>
      <c r="AJ11" s="11">
        <v>1335653</v>
      </c>
      <c r="AK11" s="11">
        <v>20982</v>
      </c>
      <c r="AL11" s="12">
        <v>2446</v>
      </c>
    </row>
    <row r="12" spans="1:38" x14ac:dyDescent="0.25">
      <c r="A12" s="2">
        <v>11</v>
      </c>
      <c r="B12" s="3" t="s">
        <v>55</v>
      </c>
      <c r="C12" s="2" t="s">
        <v>56</v>
      </c>
      <c r="D12" s="13">
        <f>_xlfn.XLOOKUP(Table1[[#This Row],[Country / Territory]],[1]!Table9[Country],[1]!Table9[Total Pop],"None",0)</f>
        <v>4236033210</v>
      </c>
      <c r="E12" s="13">
        <f>_xlfn.XLOOKUP(Table1[[#This Row],[Country / Territory]],[1]!Table9[Country],[1]!Table9[Total F],"None",0)</f>
        <v>2109094299</v>
      </c>
      <c r="F12" s="13">
        <f>_xlfn.XLOOKUP(Table1[[#This Row],[Country / Territory]],[1]!Table9[Country],[1]!Table9[Total M],"None",0)</f>
        <v>2126938911</v>
      </c>
      <c r="G12" s="9">
        <v>24803502</v>
      </c>
      <c r="H12" s="9">
        <v>94565</v>
      </c>
      <c r="I12" s="9">
        <v>227497</v>
      </c>
      <c r="J12" s="9">
        <v>75527</v>
      </c>
      <c r="K12" s="9">
        <v>702268</v>
      </c>
      <c r="L12" s="9">
        <v>349375</v>
      </c>
      <c r="M12" s="9">
        <v>711803</v>
      </c>
      <c r="N12" s="9">
        <v>112401</v>
      </c>
      <c r="O12" s="9">
        <v>314015</v>
      </c>
      <c r="P12" s="9">
        <v>4434</v>
      </c>
      <c r="Q12" s="9">
        <v>6583</v>
      </c>
      <c r="R12" s="9">
        <v>1441614</v>
      </c>
      <c r="S12" s="9">
        <v>6123691</v>
      </c>
      <c r="T12" s="9">
        <v>2062670</v>
      </c>
      <c r="U12" s="9">
        <v>2772388</v>
      </c>
      <c r="V12" s="9">
        <v>7907</v>
      </c>
      <c r="W12" s="9">
        <v>260847</v>
      </c>
      <c r="X12" s="9">
        <v>155003</v>
      </c>
      <c r="Y12" s="9">
        <v>1579876</v>
      </c>
      <c r="Z12" s="9">
        <v>4791</v>
      </c>
      <c r="AA12" s="9">
        <v>2064156</v>
      </c>
      <c r="AB12" s="9">
        <v>3456</v>
      </c>
      <c r="AC12" s="9">
        <v>597943</v>
      </c>
      <c r="AD12" s="9">
        <v>282841</v>
      </c>
      <c r="AE12" s="9">
        <v>15411</v>
      </c>
      <c r="AF12" s="9">
        <v>599026</v>
      </c>
      <c r="AG12" s="9">
        <v>249894</v>
      </c>
      <c r="AH12" s="9">
        <v>1750541</v>
      </c>
      <c r="AI12" s="9">
        <v>768520</v>
      </c>
      <c r="AJ12" s="9">
        <v>1250266</v>
      </c>
      <c r="AK12" s="9">
        <v>47594</v>
      </c>
      <c r="AL12" s="10">
        <v>166599</v>
      </c>
    </row>
    <row r="13" spans="1:38" x14ac:dyDescent="0.25">
      <c r="A13" s="4">
        <v>12</v>
      </c>
      <c r="B13" s="5" t="s">
        <v>57</v>
      </c>
      <c r="C13" s="4" t="s">
        <v>58</v>
      </c>
      <c r="D13" s="13">
        <f>_xlfn.XLOOKUP(Table1[[#This Row],[Country / Territory]],[1]!Table9[Country],[1]!Table9[Total Pop],"None",0)</f>
        <v>1452092147</v>
      </c>
      <c r="E13" s="13">
        <f>_xlfn.XLOOKUP(Table1[[#This Row],[Country / Territory]],[1]!Table9[Country],[1]!Table9[Total F],"None",0)</f>
        <v>776212478</v>
      </c>
      <c r="F13" s="13">
        <f>_xlfn.XLOOKUP(Table1[[#This Row],[Country / Territory]],[1]!Table9[Country],[1]!Table9[Total M],"None",0)</f>
        <v>675879669</v>
      </c>
      <c r="G13" s="11">
        <v>21245451</v>
      </c>
      <c r="H13" s="11">
        <v>17655</v>
      </c>
      <c r="I13" s="11">
        <v>369800</v>
      </c>
      <c r="J13" s="11">
        <v>93588</v>
      </c>
      <c r="K13" s="11">
        <v>7895</v>
      </c>
      <c r="L13" s="11">
        <v>0</v>
      </c>
      <c r="M13" s="11">
        <v>169303</v>
      </c>
      <c r="N13" s="11">
        <v>190094</v>
      </c>
      <c r="O13" s="11">
        <v>3784</v>
      </c>
      <c r="P13" s="11">
        <v>177144</v>
      </c>
      <c r="Q13" s="11">
        <v>45328</v>
      </c>
      <c r="R13" s="11">
        <v>146512</v>
      </c>
      <c r="S13" s="11">
        <v>13053052</v>
      </c>
      <c r="T13" s="11">
        <v>236344</v>
      </c>
      <c r="U13" s="11">
        <v>75146</v>
      </c>
      <c r="V13" s="11">
        <v>303062</v>
      </c>
      <c r="W13" s="11">
        <v>444127</v>
      </c>
      <c r="X13" s="11">
        <v>316</v>
      </c>
      <c r="Y13" s="11">
        <v>3615</v>
      </c>
      <c r="Z13" s="11">
        <v>120391</v>
      </c>
      <c r="AA13" s="11">
        <v>3190335</v>
      </c>
      <c r="AB13" s="11">
        <v>9578</v>
      </c>
      <c r="AC13" s="11">
        <v>95725</v>
      </c>
      <c r="AD13" s="11">
        <v>57772</v>
      </c>
      <c r="AE13" s="11">
        <v>81011</v>
      </c>
      <c r="AF13" s="11">
        <v>3304</v>
      </c>
      <c r="AG13" s="11">
        <v>285347</v>
      </c>
      <c r="AH13" s="11">
        <v>670421</v>
      </c>
      <c r="AI13" s="11">
        <v>509723</v>
      </c>
      <c r="AJ13" s="11">
        <v>786889</v>
      </c>
      <c r="AK13" s="11">
        <v>95015</v>
      </c>
      <c r="AL13" s="12">
        <v>3175</v>
      </c>
    </row>
    <row r="14" spans="1:38" x14ac:dyDescent="0.25">
      <c r="A14" s="2">
        <v>13</v>
      </c>
      <c r="B14" s="3" t="s">
        <v>59</v>
      </c>
      <c r="C14" s="2" t="s">
        <v>60</v>
      </c>
      <c r="D14" s="13">
        <f>_xlfn.XLOOKUP(Table1[[#This Row],[Country / Territory]],[1]!Table9[Country],[1]!Table9[Total Pop],"None",0)</f>
        <v>2367513741</v>
      </c>
      <c r="E14" s="13">
        <f>_xlfn.XLOOKUP(Table1[[#This Row],[Country / Territory]],[1]!Table9[Country],[1]!Table9[Total F],"None",0)</f>
        <v>1183516446</v>
      </c>
      <c r="F14" s="13">
        <f>_xlfn.XLOOKUP(Table1[[#This Row],[Country / Territory]],[1]!Table9[Country],[1]!Table9[Total M],"None",0)</f>
        <v>1183997295</v>
      </c>
      <c r="G14" s="9">
        <v>20880668</v>
      </c>
      <c r="H14" s="9">
        <v>605256</v>
      </c>
      <c r="I14" s="9">
        <v>101811</v>
      </c>
      <c r="J14" s="9">
        <v>24304</v>
      </c>
      <c r="K14" s="9">
        <v>823168</v>
      </c>
      <c r="L14" s="9">
        <v>453985</v>
      </c>
      <c r="M14" s="9">
        <v>82079</v>
      </c>
      <c r="N14" s="9">
        <v>198391</v>
      </c>
      <c r="O14" s="9">
        <v>373719</v>
      </c>
      <c r="P14" s="9">
        <v>1788429</v>
      </c>
      <c r="Q14" s="9">
        <v>4363</v>
      </c>
      <c r="R14" s="9">
        <v>1739099</v>
      </c>
      <c r="S14" s="9">
        <v>1936154</v>
      </c>
      <c r="T14" s="9">
        <v>2343265</v>
      </c>
      <c r="U14" s="9">
        <v>2851757</v>
      </c>
      <c r="V14" s="9">
        <v>17110</v>
      </c>
      <c r="W14" s="9">
        <v>169113</v>
      </c>
      <c r="X14" s="9">
        <v>2336</v>
      </c>
      <c r="Y14" s="9">
        <v>2514592</v>
      </c>
      <c r="Z14" s="9">
        <v>23032</v>
      </c>
      <c r="AA14" s="9">
        <v>936826</v>
      </c>
      <c r="AB14" s="9">
        <v>158564</v>
      </c>
      <c r="AC14" s="9">
        <v>322888</v>
      </c>
      <c r="AD14" s="9">
        <v>251375</v>
      </c>
      <c r="AE14" s="9">
        <v>101065</v>
      </c>
      <c r="AF14" s="9">
        <v>789723</v>
      </c>
      <c r="AG14" s="9">
        <v>304197</v>
      </c>
      <c r="AH14" s="9">
        <v>398489</v>
      </c>
      <c r="AI14" s="9">
        <v>556480</v>
      </c>
      <c r="AJ14" s="9">
        <v>878453</v>
      </c>
      <c r="AK14" s="9">
        <v>69309</v>
      </c>
      <c r="AL14" s="10">
        <v>61336</v>
      </c>
    </row>
    <row r="15" spans="1:38" x14ac:dyDescent="0.25">
      <c r="A15" s="4">
        <v>14</v>
      </c>
      <c r="B15" s="5" t="s">
        <v>61</v>
      </c>
      <c r="C15" s="4" t="s">
        <v>62</v>
      </c>
      <c r="D15" s="13">
        <f>_xlfn.XLOOKUP(Table1[[#This Row],[Country / Territory]],[1]!Table9[Country],[1]!Table9[Total Pop],"None",0)</f>
        <v>1812426649</v>
      </c>
      <c r="E15" s="13">
        <f>_xlfn.XLOOKUP(Table1[[#This Row],[Country / Territory]],[1]!Table9[Country],[1]!Table9[Total F],"None",0)</f>
        <v>914622527</v>
      </c>
      <c r="F15" s="13">
        <f>_xlfn.XLOOKUP(Table1[[#This Row],[Country / Territory]],[1]!Table9[Country],[1]!Table9[Total M],"None",0)</f>
        <v>897804122</v>
      </c>
      <c r="G15" s="11">
        <v>17446538</v>
      </c>
      <c r="H15" s="11">
        <v>297783</v>
      </c>
      <c r="I15" s="11">
        <v>77790</v>
      </c>
      <c r="J15" s="11">
        <v>17822</v>
      </c>
      <c r="K15" s="11">
        <v>429554</v>
      </c>
      <c r="L15" s="11">
        <v>2557219</v>
      </c>
      <c r="M15" s="11">
        <v>84451</v>
      </c>
      <c r="N15" s="11">
        <v>74449</v>
      </c>
      <c r="O15" s="11">
        <v>272263</v>
      </c>
      <c r="P15" s="11">
        <v>1006324</v>
      </c>
      <c r="Q15" s="11">
        <v>3445</v>
      </c>
      <c r="R15" s="11">
        <v>1563620</v>
      </c>
      <c r="S15" s="11">
        <v>1989495</v>
      </c>
      <c r="T15" s="11">
        <v>1724304</v>
      </c>
      <c r="U15" s="11">
        <v>1468390</v>
      </c>
      <c r="V15" s="11">
        <v>13783</v>
      </c>
      <c r="W15" s="11">
        <v>125010</v>
      </c>
      <c r="X15" s="11">
        <v>1403</v>
      </c>
      <c r="Y15" s="11">
        <v>1713685</v>
      </c>
      <c r="Z15" s="11">
        <v>9015</v>
      </c>
      <c r="AA15" s="11">
        <v>762610</v>
      </c>
      <c r="AB15" s="11">
        <v>116313</v>
      </c>
      <c r="AC15" s="11">
        <v>244784</v>
      </c>
      <c r="AD15" s="11">
        <v>181244</v>
      </c>
      <c r="AE15" s="11">
        <v>37676</v>
      </c>
      <c r="AF15" s="11">
        <v>416177</v>
      </c>
      <c r="AG15" s="11">
        <v>768797</v>
      </c>
      <c r="AH15" s="11">
        <v>481359</v>
      </c>
      <c r="AI15" s="11">
        <v>336156</v>
      </c>
      <c r="AJ15" s="11">
        <v>579357</v>
      </c>
      <c r="AK15" s="11">
        <v>42838</v>
      </c>
      <c r="AL15" s="12">
        <v>49422</v>
      </c>
    </row>
    <row r="16" spans="1:38" x14ac:dyDescent="0.25">
      <c r="A16" s="2">
        <v>15</v>
      </c>
      <c r="B16" s="3" t="s">
        <v>63</v>
      </c>
      <c r="C16" s="2" t="s">
        <v>64</v>
      </c>
      <c r="D16" s="13">
        <f>_xlfn.XLOOKUP(Table1[[#This Row],[Country / Territory]],[1]!Table9[Country],[1]!Table9[Total Pop],"None",0)</f>
        <v>1831257862</v>
      </c>
      <c r="E16" s="13">
        <f>_xlfn.XLOOKUP(Table1[[#This Row],[Country / Territory]],[1]!Table9[Country],[1]!Table9[Total F],"None",0)</f>
        <v>939793643</v>
      </c>
      <c r="F16" s="13">
        <f>_xlfn.XLOOKUP(Table1[[#This Row],[Country / Territory]],[1]!Table9[Country],[1]!Table9[Total M],"None",0)</f>
        <v>891464219</v>
      </c>
      <c r="G16" s="9">
        <v>17281600</v>
      </c>
      <c r="H16" s="9">
        <v>11589</v>
      </c>
      <c r="I16" s="9">
        <v>760163</v>
      </c>
      <c r="J16" s="9">
        <v>178912</v>
      </c>
      <c r="K16" s="9">
        <v>5004</v>
      </c>
      <c r="L16" s="9">
        <v>0</v>
      </c>
      <c r="M16" s="9">
        <v>10099</v>
      </c>
      <c r="N16" s="9">
        <v>14156</v>
      </c>
      <c r="O16" s="9">
        <v>1761</v>
      </c>
      <c r="P16" s="9">
        <v>11315</v>
      </c>
      <c r="Q16" s="9">
        <v>60456</v>
      </c>
      <c r="R16" s="9">
        <v>15093</v>
      </c>
      <c r="S16" s="9">
        <v>6603062</v>
      </c>
      <c r="T16" s="9">
        <v>1241986</v>
      </c>
      <c r="U16" s="9">
        <v>61675</v>
      </c>
      <c r="V16" s="9">
        <v>38289</v>
      </c>
      <c r="W16" s="9">
        <v>171611</v>
      </c>
      <c r="X16" s="9">
        <v>408</v>
      </c>
      <c r="Y16" s="9">
        <v>35655</v>
      </c>
      <c r="Z16" s="9">
        <v>5628</v>
      </c>
      <c r="AA16" s="9">
        <v>5182471</v>
      </c>
      <c r="AB16" s="9">
        <v>1646</v>
      </c>
      <c r="AC16" s="9">
        <v>194851</v>
      </c>
      <c r="AD16" s="9">
        <v>169923</v>
      </c>
      <c r="AE16" s="9">
        <v>5965</v>
      </c>
      <c r="AF16" s="9">
        <v>2994</v>
      </c>
      <c r="AG16" s="9">
        <v>114375</v>
      </c>
      <c r="AH16" s="9">
        <v>1293421</v>
      </c>
      <c r="AI16" s="9">
        <v>243170</v>
      </c>
      <c r="AJ16" s="9">
        <v>829566</v>
      </c>
      <c r="AK16" s="9">
        <v>15676</v>
      </c>
      <c r="AL16" s="10">
        <v>680</v>
      </c>
    </row>
    <row r="17" spans="1:38" x14ac:dyDescent="0.25">
      <c r="A17" s="4">
        <v>16</v>
      </c>
      <c r="B17" s="5" t="s">
        <v>65</v>
      </c>
      <c r="C17" s="4" t="s">
        <v>66</v>
      </c>
      <c r="D17" s="13">
        <f>_xlfn.XLOOKUP(Table1[[#This Row],[Country / Territory]],[1]!Table9[Country],[1]!Table9[Total Pop],"None",0)</f>
        <v>1749588421</v>
      </c>
      <c r="E17" s="13">
        <f>_xlfn.XLOOKUP(Table1[[#This Row],[Country / Territory]],[1]!Table9[Country],[1]!Table9[Total F],"None",0)</f>
        <v>900908378</v>
      </c>
      <c r="F17" s="13">
        <f>_xlfn.XLOOKUP(Table1[[#This Row],[Country / Territory]],[1]!Table9[Country],[1]!Table9[Total M],"None",0)</f>
        <v>848680043</v>
      </c>
      <c r="G17" s="11">
        <v>16779302</v>
      </c>
      <c r="H17" s="11">
        <v>6584</v>
      </c>
      <c r="I17" s="11">
        <v>929827</v>
      </c>
      <c r="J17" s="11">
        <v>179066</v>
      </c>
      <c r="K17" s="11">
        <v>13147</v>
      </c>
      <c r="L17" s="11">
        <v>0</v>
      </c>
      <c r="M17" s="11">
        <v>13429</v>
      </c>
      <c r="N17" s="11">
        <v>23540</v>
      </c>
      <c r="O17" s="11">
        <v>851</v>
      </c>
      <c r="P17" s="11">
        <v>47691</v>
      </c>
      <c r="Q17" s="11">
        <v>22032</v>
      </c>
      <c r="R17" s="11">
        <v>17572</v>
      </c>
      <c r="S17" s="11">
        <v>6614384</v>
      </c>
      <c r="T17" s="11">
        <v>291040</v>
      </c>
      <c r="U17" s="11">
        <v>39400</v>
      </c>
      <c r="V17" s="11">
        <v>9444</v>
      </c>
      <c r="W17" s="11">
        <v>141185</v>
      </c>
      <c r="X17" s="11">
        <v>1801</v>
      </c>
      <c r="Y17" s="11">
        <v>13056</v>
      </c>
      <c r="Z17" s="11">
        <v>5468</v>
      </c>
      <c r="AA17" s="11">
        <v>5173525</v>
      </c>
      <c r="AB17" s="11">
        <v>70</v>
      </c>
      <c r="AC17" s="11">
        <v>568245</v>
      </c>
      <c r="AD17" s="11">
        <v>346993</v>
      </c>
      <c r="AE17" s="11">
        <v>4406</v>
      </c>
      <c r="AF17" s="11">
        <v>8727</v>
      </c>
      <c r="AG17" s="11">
        <v>234288</v>
      </c>
      <c r="AH17" s="11">
        <v>797579</v>
      </c>
      <c r="AI17" s="11">
        <v>432732</v>
      </c>
      <c r="AJ17" s="11">
        <v>827170</v>
      </c>
      <c r="AK17" s="11">
        <v>13888</v>
      </c>
      <c r="AL17" s="12">
        <v>2162</v>
      </c>
    </row>
    <row r="18" spans="1:38" x14ac:dyDescent="0.25">
      <c r="A18" s="2">
        <v>17</v>
      </c>
      <c r="B18" s="3" t="s">
        <v>67</v>
      </c>
      <c r="C18" s="2" t="s">
        <v>68</v>
      </c>
      <c r="D18" s="13">
        <f>_xlfn.XLOOKUP(Table1[[#This Row],[Country / Territory]],[1]!Table9[Country],[1]!Table9[Total Pop],"None",0)</f>
        <v>1492776895</v>
      </c>
      <c r="E18" s="13">
        <f>_xlfn.XLOOKUP(Table1[[#This Row],[Country / Territory]],[1]!Table9[Country],[1]!Table9[Total F],"None",0)</f>
        <v>769421177</v>
      </c>
      <c r="F18" s="13">
        <f>_xlfn.XLOOKUP(Table1[[#This Row],[Country / Territory]],[1]!Table9[Country],[1]!Table9[Total M],"None",0)</f>
        <v>723355718</v>
      </c>
      <c r="G18" s="9">
        <v>15807129</v>
      </c>
      <c r="H18" s="9">
        <v>79896</v>
      </c>
      <c r="I18" s="9">
        <v>141842</v>
      </c>
      <c r="J18" s="9">
        <v>29281</v>
      </c>
      <c r="K18" s="9">
        <v>94315</v>
      </c>
      <c r="L18" s="9">
        <v>6150</v>
      </c>
      <c r="M18" s="9">
        <v>59316</v>
      </c>
      <c r="N18" s="9">
        <v>681957</v>
      </c>
      <c r="O18" s="9">
        <v>56368</v>
      </c>
      <c r="P18" s="9">
        <v>4874296</v>
      </c>
      <c r="Q18" s="9">
        <v>7414</v>
      </c>
      <c r="R18" s="9">
        <v>789786</v>
      </c>
      <c r="S18" s="9">
        <v>2234693</v>
      </c>
      <c r="T18" s="9">
        <v>983661</v>
      </c>
      <c r="U18" s="9">
        <v>674828</v>
      </c>
      <c r="V18" s="9">
        <v>17782</v>
      </c>
      <c r="W18" s="9">
        <v>248248</v>
      </c>
      <c r="X18" s="9">
        <v>877</v>
      </c>
      <c r="Y18" s="9">
        <v>600313</v>
      </c>
      <c r="Z18" s="9">
        <v>15128</v>
      </c>
      <c r="AA18" s="9">
        <v>1360234</v>
      </c>
      <c r="AB18" s="9">
        <v>3788</v>
      </c>
      <c r="AC18" s="9">
        <v>609364</v>
      </c>
      <c r="AD18" s="9">
        <v>278319</v>
      </c>
      <c r="AE18" s="9">
        <v>20736</v>
      </c>
      <c r="AF18" s="9">
        <v>91068</v>
      </c>
      <c r="AG18" s="9">
        <v>638445</v>
      </c>
      <c r="AH18" s="9">
        <v>556637</v>
      </c>
      <c r="AI18" s="9">
        <v>186085</v>
      </c>
      <c r="AJ18" s="9">
        <v>390351</v>
      </c>
      <c r="AK18" s="9">
        <v>71250</v>
      </c>
      <c r="AL18" s="10">
        <v>4701</v>
      </c>
    </row>
    <row r="19" spans="1:38" x14ac:dyDescent="0.25">
      <c r="A19" s="4">
        <v>18</v>
      </c>
      <c r="B19" s="5" t="s">
        <v>69</v>
      </c>
      <c r="C19" s="4" t="s">
        <v>70</v>
      </c>
      <c r="D19" s="13">
        <f>_xlfn.XLOOKUP(Table1[[#This Row],[Country / Territory]],[1]!Table9[Country],[1]!Table9[Total Pop],"None",0)</f>
        <v>3152969187</v>
      </c>
      <c r="E19" s="13">
        <f>_xlfn.XLOOKUP(Table1[[#This Row],[Country / Territory]],[1]!Table9[Country],[1]!Table9[Total F],"None",0)</f>
        <v>1612550775</v>
      </c>
      <c r="F19" s="13">
        <f>_xlfn.XLOOKUP(Table1[[#This Row],[Country / Territory]],[1]!Table9[Country],[1]!Table9[Total M],"None",0)</f>
        <v>1540418412</v>
      </c>
      <c r="G19" s="11">
        <v>15720801</v>
      </c>
      <c r="H19" s="11">
        <v>24956</v>
      </c>
      <c r="I19" s="11">
        <v>403107</v>
      </c>
      <c r="J19" s="11">
        <v>87040</v>
      </c>
      <c r="K19" s="11">
        <v>269731</v>
      </c>
      <c r="L19" s="11">
        <v>218</v>
      </c>
      <c r="M19" s="11">
        <v>93275</v>
      </c>
      <c r="N19" s="11">
        <v>554972</v>
      </c>
      <c r="O19" s="11">
        <v>42091</v>
      </c>
      <c r="P19" s="11">
        <v>147499</v>
      </c>
      <c r="Q19" s="11">
        <v>13283</v>
      </c>
      <c r="R19" s="11">
        <v>113769</v>
      </c>
      <c r="S19" s="11">
        <v>3244515</v>
      </c>
      <c r="T19" s="11">
        <v>643772</v>
      </c>
      <c r="U19" s="11">
        <v>734235</v>
      </c>
      <c r="V19" s="11">
        <v>129387</v>
      </c>
      <c r="W19" s="11">
        <v>158347</v>
      </c>
      <c r="X19" s="11">
        <v>4593</v>
      </c>
      <c r="Y19" s="11">
        <v>273613</v>
      </c>
      <c r="Z19" s="11">
        <v>5348</v>
      </c>
      <c r="AA19" s="11">
        <v>2134942</v>
      </c>
      <c r="AB19" s="11">
        <v>1333</v>
      </c>
      <c r="AC19" s="11">
        <v>1328966</v>
      </c>
      <c r="AD19" s="11">
        <v>1182693</v>
      </c>
      <c r="AE19" s="11">
        <v>18046</v>
      </c>
      <c r="AF19" s="11">
        <v>234785</v>
      </c>
      <c r="AG19" s="11">
        <v>597433</v>
      </c>
      <c r="AH19" s="11">
        <v>771520</v>
      </c>
      <c r="AI19" s="11">
        <v>985079</v>
      </c>
      <c r="AJ19" s="11">
        <v>1483060</v>
      </c>
      <c r="AK19" s="11">
        <v>31896</v>
      </c>
      <c r="AL19" s="12">
        <v>7297</v>
      </c>
    </row>
    <row r="20" spans="1:38" x14ac:dyDescent="0.25">
      <c r="A20" s="2">
        <v>19</v>
      </c>
      <c r="B20" s="3" t="s">
        <v>71</v>
      </c>
      <c r="C20" s="2" t="s">
        <v>72</v>
      </c>
      <c r="D20" s="13">
        <f>_xlfn.XLOOKUP(Table1[[#This Row],[Country / Territory]],[1]!Table9[Country],[1]!Table9[Total Pop],"None",0)</f>
        <v>1886066094</v>
      </c>
      <c r="E20" s="13">
        <f>_xlfn.XLOOKUP(Table1[[#This Row],[Country / Territory]],[1]!Table9[Country],[1]!Table9[Total F],"None",0)</f>
        <v>972000720</v>
      </c>
      <c r="F20" s="13">
        <f>_xlfn.XLOOKUP(Table1[[#This Row],[Country / Territory]],[1]!Table9[Country],[1]!Table9[Total M],"None",0)</f>
        <v>914065374</v>
      </c>
      <c r="G20" s="9">
        <v>15093782</v>
      </c>
      <c r="H20" s="9">
        <v>8975</v>
      </c>
      <c r="I20" s="9">
        <v>882954</v>
      </c>
      <c r="J20" s="9">
        <v>180197</v>
      </c>
      <c r="K20" s="9">
        <v>103810</v>
      </c>
      <c r="L20" s="9">
        <v>0</v>
      </c>
      <c r="M20" s="9">
        <v>31279</v>
      </c>
      <c r="N20" s="9">
        <v>21575</v>
      </c>
      <c r="O20" s="9">
        <v>2301</v>
      </c>
      <c r="P20" s="9">
        <v>50258</v>
      </c>
      <c r="Q20" s="9">
        <v>34180</v>
      </c>
      <c r="R20" s="9">
        <v>49505</v>
      </c>
      <c r="S20" s="9">
        <v>4729313</v>
      </c>
      <c r="T20" s="9">
        <v>577479</v>
      </c>
      <c r="U20" s="9">
        <v>45344</v>
      </c>
      <c r="V20" s="9">
        <v>104759</v>
      </c>
      <c r="W20" s="9">
        <v>388164</v>
      </c>
      <c r="X20" s="9">
        <v>913</v>
      </c>
      <c r="Y20" s="9">
        <v>47915</v>
      </c>
      <c r="Z20" s="9">
        <v>16249</v>
      </c>
      <c r="AA20" s="9">
        <v>5067099</v>
      </c>
      <c r="AB20" s="9">
        <v>792</v>
      </c>
      <c r="AC20" s="9">
        <v>324244</v>
      </c>
      <c r="AD20" s="9">
        <v>273752</v>
      </c>
      <c r="AE20" s="9">
        <v>6253</v>
      </c>
      <c r="AF20" s="9">
        <v>99271</v>
      </c>
      <c r="AG20" s="9">
        <v>217006</v>
      </c>
      <c r="AH20" s="9">
        <v>607771</v>
      </c>
      <c r="AI20" s="9">
        <v>357490</v>
      </c>
      <c r="AJ20" s="9">
        <v>839800</v>
      </c>
      <c r="AK20" s="9">
        <v>24380</v>
      </c>
      <c r="AL20" s="10">
        <v>754</v>
      </c>
    </row>
    <row r="21" spans="1:38" x14ac:dyDescent="0.25">
      <c r="A21" s="4">
        <v>20</v>
      </c>
      <c r="B21" s="5" t="s">
        <v>73</v>
      </c>
      <c r="C21" s="4" t="s">
        <v>74</v>
      </c>
      <c r="D21" s="13">
        <f>_xlfn.XLOOKUP(Table1[[#This Row],[Country / Territory]],[1]!Table9[Country],[1]!Table9[Total Pop],"None",0)</f>
        <v>2436919280</v>
      </c>
      <c r="E21" s="13">
        <f>_xlfn.XLOOKUP(Table1[[#This Row],[Country / Territory]],[1]!Table9[Country],[1]!Table9[Total F],"None",0)</f>
        <v>1203297751</v>
      </c>
      <c r="F21" s="13">
        <f>_xlfn.XLOOKUP(Table1[[#This Row],[Country / Territory]],[1]!Table9[Country],[1]!Table9[Total M],"None",0)</f>
        <v>1233621529</v>
      </c>
      <c r="G21" s="11">
        <v>14878359</v>
      </c>
      <c r="H21" s="11">
        <v>39101</v>
      </c>
      <c r="I21" s="11">
        <v>146785</v>
      </c>
      <c r="J21" s="11">
        <v>49207</v>
      </c>
      <c r="K21" s="11">
        <v>30709</v>
      </c>
      <c r="L21" s="11">
        <v>0</v>
      </c>
      <c r="M21" s="11">
        <v>33681</v>
      </c>
      <c r="N21" s="11">
        <v>11933</v>
      </c>
      <c r="O21" s="11">
        <v>34917</v>
      </c>
      <c r="P21" s="11">
        <v>2784</v>
      </c>
      <c r="Q21" s="11">
        <v>1366</v>
      </c>
      <c r="R21" s="11">
        <v>35759</v>
      </c>
      <c r="S21" s="11">
        <v>5995471</v>
      </c>
      <c r="T21" s="11">
        <v>954868</v>
      </c>
      <c r="U21" s="11">
        <v>504806</v>
      </c>
      <c r="V21" s="11">
        <v>3349</v>
      </c>
      <c r="W21" s="11">
        <v>70777</v>
      </c>
      <c r="X21" s="11">
        <v>1572</v>
      </c>
      <c r="Y21" s="11">
        <v>498193</v>
      </c>
      <c r="Z21" s="11">
        <v>1735</v>
      </c>
      <c r="AA21" s="11">
        <v>1160639</v>
      </c>
      <c r="AB21" s="11">
        <v>7542</v>
      </c>
      <c r="AC21" s="11">
        <v>370494</v>
      </c>
      <c r="AD21" s="11">
        <v>445949</v>
      </c>
      <c r="AE21" s="11">
        <v>5649</v>
      </c>
      <c r="AF21" s="11">
        <v>26381</v>
      </c>
      <c r="AG21" s="11">
        <v>796157</v>
      </c>
      <c r="AH21" s="11">
        <v>543660</v>
      </c>
      <c r="AI21" s="11">
        <v>1422257</v>
      </c>
      <c r="AJ21" s="11">
        <v>1583081</v>
      </c>
      <c r="AK21" s="11">
        <v>42655</v>
      </c>
      <c r="AL21" s="12">
        <v>56882</v>
      </c>
    </row>
    <row r="22" spans="1:38" x14ac:dyDescent="0.25">
      <c r="A22" s="2">
        <v>21</v>
      </c>
      <c r="B22" s="3" t="s">
        <v>75</v>
      </c>
      <c r="C22" s="2" t="s">
        <v>76</v>
      </c>
      <c r="D22" s="13">
        <f>_xlfn.XLOOKUP(Table1[[#This Row],[Country / Territory]],[1]!Table9[Country],[1]!Table9[Total Pop],"None",0)</f>
        <v>2447539509</v>
      </c>
      <c r="E22" s="13">
        <f>_xlfn.XLOOKUP(Table1[[#This Row],[Country / Territory]],[1]!Table9[Country],[1]!Table9[Total F],"None",0)</f>
        <v>1251676648</v>
      </c>
      <c r="F22" s="13">
        <f>_xlfn.XLOOKUP(Table1[[#This Row],[Country / Territory]],[1]!Table9[Country],[1]!Table9[Total M],"None",0)</f>
        <v>1195862861</v>
      </c>
      <c r="G22" s="9">
        <v>14444650</v>
      </c>
      <c r="H22" s="9">
        <v>38559</v>
      </c>
      <c r="I22" s="9">
        <v>369363</v>
      </c>
      <c r="J22" s="9">
        <v>83322</v>
      </c>
      <c r="K22" s="9">
        <v>48613</v>
      </c>
      <c r="L22" s="9">
        <v>17311</v>
      </c>
      <c r="M22" s="9">
        <v>214356</v>
      </c>
      <c r="N22" s="9">
        <v>47981</v>
      </c>
      <c r="O22" s="9">
        <v>13167</v>
      </c>
      <c r="P22" s="9">
        <v>148838</v>
      </c>
      <c r="Q22" s="9">
        <v>19959</v>
      </c>
      <c r="R22" s="9">
        <v>729683</v>
      </c>
      <c r="S22" s="9">
        <v>5323920</v>
      </c>
      <c r="T22" s="9">
        <v>639832</v>
      </c>
      <c r="U22" s="9">
        <v>449614</v>
      </c>
      <c r="V22" s="9">
        <v>20059</v>
      </c>
      <c r="W22" s="9">
        <v>197601</v>
      </c>
      <c r="X22" s="9">
        <v>12526</v>
      </c>
      <c r="Y22" s="9">
        <v>109700</v>
      </c>
      <c r="Z22" s="9">
        <v>2967</v>
      </c>
      <c r="AA22" s="9">
        <v>2156232</v>
      </c>
      <c r="AB22" s="9">
        <v>98</v>
      </c>
      <c r="AC22" s="9">
        <v>544222</v>
      </c>
      <c r="AD22" s="9">
        <v>396874</v>
      </c>
      <c r="AE22" s="9">
        <v>34681</v>
      </c>
      <c r="AF22" s="9">
        <v>7366</v>
      </c>
      <c r="AG22" s="9">
        <v>594980</v>
      </c>
      <c r="AH22" s="9">
        <v>911787</v>
      </c>
      <c r="AI22" s="9">
        <v>527192</v>
      </c>
      <c r="AJ22" s="9">
        <v>735817</v>
      </c>
      <c r="AK22" s="9">
        <v>17380</v>
      </c>
      <c r="AL22" s="10">
        <v>30650</v>
      </c>
    </row>
    <row r="23" spans="1:38" x14ac:dyDescent="0.25">
      <c r="A23" s="4">
        <v>22</v>
      </c>
      <c r="B23" s="5" t="s">
        <v>77</v>
      </c>
      <c r="C23" s="4" t="s">
        <v>78</v>
      </c>
      <c r="D23" s="13">
        <f>_xlfn.XLOOKUP(Table1[[#This Row],[Country / Territory]],[1]!Table9[Country],[1]!Table9[Total Pop],"None",0)</f>
        <v>2611851212</v>
      </c>
      <c r="E23" s="13">
        <f>_xlfn.XLOOKUP(Table1[[#This Row],[Country / Territory]],[1]!Table9[Country],[1]!Table9[Total F],"None",0)</f>
        <v>1301864912</v>
      </c>
      <c r="F23" s="13">
        <f>_xlfn.XLOOKUP(Table1[[#This Row],[Country / Territory]],[1]!Table9[Country],[1]!Table9[Total M],"None",0)</f>
        <v>1309986300</v>
      </c>
      <c r="G23" s="11">
        <v>13680040</v>
      </c>
      <c r="H23" s="11">
        <v>95695</v>
      </c>
      <c r="I23" s="11">
        <v>200646</v>
      </c>
      <c r="J23" s="11">
        <v>45991</v>
      </c>
      <c r="K23" s="11">
        <v>124822</v>
      </c>
      <c r="L23" s="11">
        <v>10584</v>
      </c>
      <c r="M23" s="11">
        <v>148009</v>
      </c>
      <c r="N23" s="11">
        <v>455790</v>
      </c>
      <c r="O23" s="11">
        <v>60207</v>
      </c>
      <c r="P23" s="11">
        <v>110923</v>
      </c>
      <c r="Q23" s="11">
        <v>6722</v>
      </c>
      <c r="R23" s="11">
        <v>863796</v>
      </c>
      <c r="S23" s="11">
        <v>3724705</v>
      </c>
      <c r="T23" s="11">
        <v>1387188</v>
      </c>
      <c r="U23" s="11">
        <v>878090</v>
      </c>
      <c r="V23" s="11">
        <v>30253</v>
      </c>
      <c r="W23" s="11">
        <v>101766</v>
      </c>
      <c r="X23" s="11">
        <v>46892</v>
      </c>
      <c r="Y23" s="11">
        <v>407292</v>
      </c>
      <c r="Z23" s="11">
        <v>4603</v>
      </c>
      <c r="AA23" s="11">
        <v>1644164</v>
      </c>
      <c r="AB23" s="11">
        <v>24968</v>
      </c>
      <c r="AC23" s="11">
        <v>518565</v>
      </c>
      <c r="AD23" s="11">
        <v>588007</v>
      </c>
      <c r="AE23" s="11">
        <v>6190</v>
      </c>
      <c r="AF23" s="11">
        <v>109742</v>
      </c>
      <c r="AG23" s="11">
        <v>272369</v>
      </c>
      <c r="AH23" s="11">
        <v>778269</v>
      </c>
      <c r="AI23" s="11">
        <v>317620</v>
      </c>
      <c r="AJ23" s="11">
        <v>674218</v>
      </c>
      <c r="AK23" s="11">
        <v>27453</v>
      </c>
      <c r="AL23" s="12">
        <v>14501</v>
      </c>
    </row>
    <row r="24" spans="1:38" x14ac:dyDescent="0.25">
      <c r="A24" s="2">
        <v>23</v>
      </c>
      <c r="B24" s="3" t="s">
        <v>79</v>
      </c>
      <c r="C24" s="2" t="s">
        <v>80</v>
      </c>
      <c r="D24" s="13">
        <f>_xlfn.XLOOKUP(Table1[[#This Row],[Country / Territory]],[1]!Table9[Country],[1]!Table9[Total Pop],"None",0)</f>
        <v>1403282814</v>
      </c>
      <c r="E24" s="13">
        <f>_xlfn.XLOOKUP(Table1[[#This Row],[Country / Territory]],[1]!Table9[Country],[1]!Table9[Total F],"None",0)</f>
        <v>701628915</v>
      </c>
      <c r="F24" s="13">
        <f>_xlfn.XLOOKUP(Table1[[#This Row],[Country / Territory]],[1]!Table9[Country],[1]!Table9[Total M],"None",0)</f>
        <v>701653899</v>
      </c>
      <c r="G24" s="9">
        <v>13486764</v>
      </c>
      <c r="H24" s="9">
        <v>139348</v>
      </c>
      <c r="I24" s="9">
        <v>128601</v>
      </c>
      <c r="J24" s="9">
        <v>35045</v>
      </c>
      <c r="K24" s="9">
        <v>93900</v>
      </c>
      <c r="L24" s="9">
        <v>157143</v>
      </c>
      <c r="M24" s="9">
        <v>155752</v>
      </c>
      <c r="N24" s="9">
        <v>29794</v>
      </c>
      <c r="O24" s="9">
        <v>63745</v>
      </c>
      <c r="P24" s="9">
        <v>268570</v>
      </c>
      <c r="Q24" s="9">
        <v>5264</v>
      </c>
      <c r="R24" s="9">
        <v>866485</v>
      </c>
      <c r="S24" s="9">
        <v>3522423</v>
      </c>
      <c r="T24" s="9">
        <v>1153570</v>
      </c>
      <c r="U24" s="9">
        <v>859666</v>
      </c>
      <c r="V24" s="9">
        <v>13690</v>
      </c>
      <c r="W24" s="9">
        <v>74663</v>
      </c>
      <c r="X24" s="9">
        <v>139932</v>
      </c>
      <c r="Y24" s="9">
        <v>706020</v>
      </c>
      <c r="Z24" s="9">
        <v>518</v>
      </c>
      <c r="AA24" s="9">
        <v>1260516</v>
      </c>
      <c r="AB24" s="9">
        <v>18252</v>
      </c>
      <c r="AC24" s="9">
        <v>520531</v>
      </c>
      <c r="AD24" s="9">
        <v>288985</v>
      </c>
      <c r="AE24" s="9">
        <v>50299</v>
      </c>
      <c r="AF24" s="9">
        <v>85808</v>
      </c>
      <c r="AG24" s="9">
        <v>291092</v>
      </c>
      <c r="AH24" s="9">
        <v>1253201</v>
      </c>
      <c r="AI24" s="9">
        <v>530177</v>
      </c>
      <c r="AJ24" s="9">
        <v>744192</v>
      </c>
      <c r="AK24" s="9">
        <v>12452</v>
      </c>
      <c r="AL24" s="10">
        <v>17130</v>
      </c>
    </row>
    <row r="25" spans="1:38" x14ac:dyDescent="0.25">
      <c r="A25" s="4">
        <v>24</v>
      </c>
      <c r="B25" s="5" t="s">
        <v>81</v>
      </c>
      <c r="C25" s="4" t="s">
        <v>82</v>
      </c>
      <c r="D25" s="13">
        <f>_xlfn.XLOOKUP(Table1[[#This Row],[Country / Territory]],[1]!Table9[Country],[1]!Table9[Total Pop],"None",0)</f>
        <v>1945355626</v>
      </c>
      <c r="E25" s="13">
        <f>_xlfn.XLOOKUP(Table1[[#This Row],[Country / Territory]],[1]!Table9[Country],[1]!Table9[Total F],"None",0)</f>
        <v>982771658</v>
      </c>
      <c r="F25" s="13">
        <f>_xlfn.XLOOKUP(Table1[[#This Row],[Country / Territory]],[1]!Table9[Country],[1]!Table9[Total M],"None",0)</f>
        <v>962583968</v>
      </c>
      <c r="G25" s="11">
        <v>11358484</v>
      </c>
      <c r="H25" s="11">
        <v>37372</v>
      </c>
      <c r="I25" s="11">
        <v>335804</v>
      </c>
      <c r="J25" s="11">
        <v>69870</v>
      </c>
      <c r="K25" s="11">
        <v>32140</v>
      </c>
      <c r="L25" s="11">
        <v>8592</v>
      </c>
      <c r="M25" s="11">
        <v>169256</v>
      </c>
      <c r="N25" s="11">
        <v>216115</v>
      </c>
      <c r="O25" s="11">
        <v>18063</v>
      </c>
      <c r="P25" s="11">
        <v>618532</v>
      </c>
      <c r="Q25" s="11">
        <v>12339</v>
      </c>
      <c r="R25" s="11">
        <v>310507</v>
      </c>
      <c r="S25" s="11">
        <v>2572195</v>
      </c>
      <c r="T25" s="11">
        <v>493505</v>
      </c>
      <c r="U25" s="11">
        <v>153777</v>
      </c>
      <c r="V25" s="11">
        <v>21987</v>
      </c>
      <c r="W25" s="11">
        <v>248729</v>
      </c>
      <c r="X25" s="11">
        <v>11807</v>
      </c>
      <c r="Y25" s="11">
        <v>167298</v>
      </c>
      <c r="Z25" s="11">
        <v>1244</v>
      </c>
      <c r="AA25" s="11">
        <v>2369108</v>
      </c>
      <c r="AB25" s="11">
        <v>7044</v>
      </c>
      <c r="AC25" s="11">
        <v>386466</v>
      </c>
      <c r="AD25" s="11">
        <v>509707</v>
      </c>
      <c r="AE25" s="11">
        <v>7720</v>
      </c>
      <c r="AF25" s="11">
        <v>28794</v>
      </c>
      <c r="AG25" s="11">
        <v>717057</v>
      </c>
      <c r="AH25" s="11">
        <v>666147</v>
      </c>
      <c r="AI25" s="11">
        <v>431669</v>
      </c>
      <c r="AJ25" s="11">
        <v>707685</v>
      </c>
      <c r="AK25" s="11">
        <v>19719</v>
      </c>
      <c r="AL25" s="12">
        <v>8236</v>
      </c>
    </row>
    <row r="26" spans="1:38" x14ac:dyDescent="0.25">
      <c r="A26" s="2">
        <v>25</v>
      </c>
      <c r="B26" s="3" t="s">
        <v>83</v>
      </c>
      <c r="C26" s="2" t="s">
        <v>84</v>
      </c>
      <c r="D26" s="13">
        <f>_xlfn.XLOOKUP(Table1[[#This Row],[Country / Territory]],[1]!Table9[Country],[1]!Table9[Total Pop],"None",0)</f>
        <v>1200095236</v>
      </c>
      <c r="E26" s="13">
        <f>_xlfn.XLOOKUP(Table1[[#This Row],[Country / Territory]],[1]!Table9[Country],[1]!Table9[Total F],"None",0)</f>
        <v>605618757</v>
      </c>
      <c r="F26" s="13">
        <f>_xlfn.XLOOKUP(Table1[[#This Row],[Country / Territory]],[1]!Table9[Country],[1]!Table9[Total M],"None",0)</f>
        <v>594476479</v>
      </c>
      <c r="G26" s="9">
        <v>11195695</v>
      </c>
      <c r="H26" s="9">
        <v>146489</v>
      </c>
      <c r="I26" s="9">
        <v>66904</v>
      </c>
      <c r="J26" s="9">
        <v>14391</v>
      </c>
      <c r="K26" s="9">
        <v>320554</v>
      </c>
      <c r="L26" s="9">
        <v>800490</v>
      </c>
      <c r="M26" s="9">
        <v>35519</v>
      </c>
      <c r="N26" s="9">
        <v>74764</v>
      </c>
      <c r="O26" s="9">
        <v>133746</v>
      </c>
      <c r="P26" s="9">
        <v>2465047</v>
      </c>
      <c r="Q26" s="9">
        <v>2855</v>
      </c>
      <c r="R26" s="9">
        <v>638516</v>
      </c>
      <c r="S26" s="9">
        <v>1155416</v>
      </c>
      <c r="T26" s="9">
        <v>1209289</v>
      </c>
      <c r="U26" s="9">
        <v>1122254</v>
      </c>
      <c r="V26" s="9">
        <v>7020</v>
      </c>
      <c r="W26" s="9">
        <v>70982</v>
      </c>
      <c r="X26" s="9">
        <v>807</v>
      </c>
      <c r="Y26" s="9">
        <v>743870</v>
      </c>
      <c r="Z26" s="9">
        <v>6332</v>
      </c>
      <c r="AA26" s="9">
        <v>629238</v>
      </c>
      <c r="AB26" s="9">
        <v>700</v>
      </c>
      <c r="AC26" s="9">
        <v>168174</v>
      </c>
      <c r="AD26" s="9">
        <v>124990</v>
      </c>
      <c r="AE26" s="9">
        <v>27430</v>
      </c>
      <c r="AF26" s="9">
        <v>309857</v>
      </c>
      <c r="AG26" s="9">
        <v>140881</v>
      </c>
      <c r="AH26" s="9">
        <v>162969</v>
      </c>
      <c r="AI26" s="9">
        <v>215936</v>
      </c>
      <c r="AJ26" s="9">
        <v>350358</v>
      </c>
      <c r="AK26" s="9">
        <v>30282</v>
      </c>
      <c r="AL26" s="10">
        <v>19635</v>
      </c>
    </row>
    <row r="27" spans="1:38" x14ac:dyDescent="0.25">
      <c r="A27" s="4">
        <v>26</v>
      </c>
      <c r="B27" s="5" t="s">
        <v>85</v>
      </c>
      <c r="C27" s="4" t="s">
        <v>86</v>
      </c>
      <c r="D27" s="13">
        <f>_xlfn.XLOOKUP(Table1[[#This Row],[Country / Territory]],[1]!Table9[Country],[1]!Table9[Total Pop],"None",0)</f>
        <v>1146838671</v>
      </c>
      <c r="E27" s="13">
        <f>_xlfn.XLOOKUP(Table1[[#This Row],[Country / Territory]],[1]!Table9[Country],[1]!Table9[Total F],"None",0)</f>
        <v>590924073</v>
      </c>
      <c r="F27" s="13">
        <f>_xlfn.XLOOKUP(Table1[[#This Row],[Country / Territory]],[1]!Table9[Country],[1]!Table9[Total M],"None",0)</f>
        <v>555914598</v>
      </c>
      <c r="G27" s="11">
        <v>11173480</v>
      </c>
      <c r="H27" s="11">
        <v>7276</v>
      </c>
      <c r="I27" s="11">
        <v>361248</v>
      </c>
      <c r="J27" s="11">
        <v>76105</v>
      </c>
      <c r="K27" s="11">
        <v>2984</v>
      </c>
      <c r="L27" s="11">
        <v>0</v>
      </c>
      <c r="M27" s="11">
        <v>37071</v>
      </c>
      <c r="N27" s="11">
        <v>30348</v>
      </c>
      <c r="O27" s="11">
        <v>1019</v>
      </c>
      <c r="P27" s="11">
        <v>3314</v>
      </c>
      <c r="Q27" s="11">
        <v>6337</v>
      </c>
      <c r="R27" s="11">
        <v>33190</v>
      </c>
      <c r="S27" s="11">
        <v>5233134</v>
      </c>
      <c r="T27" s="11">
        <v>266728</v>
      </c>
      <c r="U27" s="11">
        <v>49477</v>
      </c>
      <c r="V27" s="11">
        <v>114388</v>
      </c>
      <c r="W27" s="11">
        <v>224860</v>
      </c>
      <c r="X27" s="11">
        <v>241</v>
      </c>
      <c r="Y27" s="11">
        <v>3874</v>
      </c>
      <c r="Z27" s="11">
        <v>12988</v>
      </c>
      <c r="AA27" s="11">
        <v>3062100</v>
      </c>
      <c r="AB27" s="11">
        <v>42</v>
      </c>
      <c r="AC27" s="11">
        <v>188412</v>
      </c>
      <c r="AD27" s="11">
        <v>142563</v>
      </c>
      <c r="AE27" s="11">
        <v>14332</v>
      </c>
      <c r="AF27" s="11">
        <v>2169</v>
      </c>
      <c r="AG27" s="11">
        <v>190943</v>
      </c>
      <c r="AH27" s="11">
        <v>343254</v>
      </c>
      <c r="AI27" s="11">
        <v>243505</v>
      </c>
      <c r="AJ27" s="11">
        <v>500794</v>
      </c>
      <c r="AK27" s="11">
        <v>20375</v>
      </c>
      <c r="AL27" s="12">
        <v>409</v>
      </c>
    </row>
    <row r="28" spans="1:38" x14ac:dyDescent="0.25">
      <c r="A28" s="2">
        <v>27</v>
      </c>
      <c r="B28" s="3" t="s">
        <v>87</v>
      </c>
      <c r="C28" s="2" t="s">
        <v>88</v>
      </c>
      <c r="D28" s="13">
        <f>_xlfn.XLOOKUP(Table1[[#This Row],[Country / Territory]],[1]!Table9[Country],[1]!Table9[Total Pop],"None",0)</f>
        <v>1296246896</v>
      </c>
      <c r="E28" s="13">
        <f>_xlfn.XLOOKUP(Table1[[#This Row],[Country / Territory]],[1]!Table9[Country],[1]!Table9[Total F],"None",0)</f>
        <v>658106111</v>
      </c>
      <c r="F28" s="13">
        <f>_xlfn.XLOOKUP(Table1[[#This Row],[Country / Territory]],[1]!Table9[Country],[1]!Table9[Total M],"None",0)</f>
        <v>638140785</v>
      </c>
      <c r="G28" s="9">
        <v>10888774</v>
      </c>
      <c r="H28" s="9">
        <v>7534</v>
      </c>
      <c r="I28" s="9">
        <v>658652</v>
      </c>
      <c r="J28" s="9">
        <v>132799</v>
      </c>
      <c r="K28" s="9">
        <v>9970</v>
      </c>
      <c r="L28" s="9">
        <v>0</v>
      </c>
      <c r="M28" s="9">
        <v>17253</v>
      </c>
      <c r="N28" s="9">
        <v>12428</v>
      </c>
      <c r="O28" s="9">
        <v>651</v>
      </c>
      <c r="P28" s="9">
        <v>60056</v>
      </c>
      <c r="Q28" s="9">
        <v>23618</v>
      </c>
      <c r="R28" s="9">
        <v>18850</v>
      </c>
      <c r="S28" s="9">
        <v>3726864</v>
      </c>
      <c r="T28" s="9">
        <v>330411</v>
      </c>
      <c r="U28" s="9">
        <v>25943</v>
      </c>
      <c r="V28" s="9">
        <v>12056</v>
      </c>
      <c r="W28" s="9">
        <v>111994</v>
      </c>
      <c r="X28" s="9">
        <v>487</v>
      </c>
      <c r="Y28" s="9">
        <v>19990</v>
      </c>
      <c r="Z28" s="9">
        <v>2643</v>
      </c>
      <c r="AA28" s="9">
        <v>3106705</v>
      </c>
      <c r="AB28" s="9">
        <v>887</v>
      </c>
      <c r="AC28" s="9">
        <v>295332</v>
      </c>
      <c r="AD28" s="9">
        <v>322884</v>
      </c>
      <c r="AE28" s="9">
        <v>4128</v>
      </c>
      <c r="AF28" s="9">
        <v>5813</v>
      </c>
      <c r="AG28" s="9">
        <v>158947</v>
      </c>
      <c r="AH28" s="9">
        <v>893090</v>
      </c>
      <c r="AI28" s="9">
        <v>281432</v>
      </c>
      <c r="AJ28" s="9">
        <v>638695</v>
      </c>
      <c r="AK28" s="9">
        <v>8187</v>
      </c>
      <c r="AL28" s="10">
        <v>475</v>
      </c>
    </row>
    <row r="29" spans="1:38" x14ac:dyDescent="0.25">
      <c r="A29" s="4">
        <v>28</v>
      </c>
      <c r="B29" s="5" t="s">
        <v>89</v>
      </c>
      <c r="C29" s="4" t="s">
        <v>90</v>
      </c>
      <c r="D29" s="13">
        <f>_xlfn.XLOOKUP(Table1[[#This Row],[Country / Territory]],[1]!Table9[Country],[1]!Table9[Total Pop],"None",0)</f>
        <v>2069638575</v>
      </c>
      <c r="E29" s="13">
        <f>_xlfn.XLOOKUP(Table1[[#This Row],[Country / Territory]],[1]!Table9[Country],[1]!Table9[Total F],"None",0)</f>
        <v>1030359684</v>
      </c>
      <c r="F29" s="13">
        <f>_xlfn.XLOOKUP(Table1[[#This Row],[Country / Territory]],[1]!Table9[Country],[1]!Table9[Total M],"None",0)</f>
        <v>1039278891</v>
      </c>
      <c r="G29" s="11">
        <v>10748951</v>
      </c>
      <c r="H29" s="11">
        <v>32710</v>
      </c>
      <c r="I29" s="11">
        <v>374548</v>
      </c>
      <c r="J29" s="11">
        <v>71753</v>
      </c>
      <c r="K29" s="11">
        <v>24559</v>
      </c>
      <c r="L29" s="11">
        <v>179</v>
      </c>
      <c r="M29" s="11">
        <v>29356</v>
      </c>
      <c r="N29" s="11">
        <v>61032</v>
      </c>
      <c r="O29" s="11">
        <v>21647</v>
      </c>
      <c r="P29" s="11">
        <v>2970</v>
      </c>
      <c r="Q29" s="11">
        <v>5245</v>
      </c>
      <c r="R29" s="11">
        <v>65510</v>
      </c>
      <c r="S29" s="11">
        <v>4167835</v>
      </c>
      <c r="T29" s="11">
        <v>476082</v>
      </c>
      <c r="U29" s="11">
        <v>629097</v>
      </c>
      <c r="V29" s="11">
        <v>5472</v>
      </c>
      <c r="W29" s="11">
        <v>81642</v>
      </c>
      <c r="X29" s="11">
        <v>20972</v>
      </c>
      <c r="Y29" s="11">
        <v>52514</v>
      </c>
      <c r="Z29" s="11">
        <v>1739</v>
      </c>
      <c r="AA29" s="11">
        <v>2154475</v>
      </c>
      <c r="AB29" s="11">
        <v>37414</v>
      </c>
      <c r="AC29" s="11">
        <v>484386</v>
      </c>
      <c r="AD29" s="11">
        <v>410468</v>
      </c>
      <c r="AE29" s="11">
        <v>15857</v>
      </c>
      <c r="AF29" s="11">
        <v>19318</v>
      </c>
      <c r="AG29" s="11">
        <v>217882</v>
      </c>
      <c r="AH29" s="11">
        <v>733091</v>
      </c>
      <c r="AI29" s="11">
        <v>179133</v>
      </c>
      <c r="AJ29" s="11">
        <v>332311</v>
      </c>
      <c r="AK29" s="11">
        <v>14509</v>
      </c>
      <c r="AL29" s="12">
        <v>25245</v>
      </c>
    </row>
    <row r="30" spans="1:38" x14ac:dyDescent="0.25">
      <c r="A30" s="2">
        <v>29</v>
      </c>
      <c r="B30" s="3" t="s">
        <v>91</v>
      </c>
      <c r="C30" s="2" t="s">
        <v>92</v>
      </c>
      <c r="D30" s="13">
        <f>_xlfn.XLOOKUP(Table1[[#This Row],[Country / Territory]],[1]!Table9[Country],[1]!Table9[Total Pop],"None",0)</f>
        <v>2155591159</v>
      </c>
      <c r="E30" s="13">
        <f>_xlfn.XLOOKUP(Table1[[#This Row],[Country / Territory]],[1]!Table9[Country],[1]!Table9[Total F],"None",0)</f>
        <v>1057002709</v>
      </c>
      <c r="F30" s="13">
        <f>_xlfn.XLOOKUP(Table1[[#This Row],[Country / Territory]],[1]!Table9[Country],[1]!Table9[Total M],"None",0)</f>
        <v>1098588450</v>
      </c>
      <c r="G30" s="9">
        <v>9278362</v>
      </c>
      <c r="H30" s="9">
        <v>30820</v>
      </c>
      <c r="I30" s="9">
        <v>212745</v>
      </c>
      <c r="J30" s="9">
        <v>48549</v>
      </c>
      <c r="K30" s="9">
        <v>13985</v>
      </c>
      <c r="L30" s="9">
        <v>13013</v>
      </c>
      <c r="M30" s="9">
        <v>57888</v>
      </c>
      <c r="N30" s="9">
        <v>60299</v>
      </c>
      <c r="O30" s="9">
        <v>13881</v>
      </c>
      <c r="P30" s="9">
        <v>12695</v>
      </c>
      <c r="Q30" s="9">
        <v>76171</v>
      </c>
      <c r="R30" s="9">
        <v>29658</v>
      </c>
      <c r="S30" s="9">
        <v>3867575</v>
      </c>
      <c r="T30" s="9">
        <v>319755</v>
      </c>
      <c r="U30" s="9">
        <v>782644</v>
      </c>
      <c r="V30" s="9">
        <v>6288</v>
      </c>
      <c r="W30" s="9">
        <v>133625</v>
      </c>
      <c r="X30" s="9">
        <v>75410</v>
      </c>
      <c r="Y30" s="9">
        <v>51705</v>
      </c>
      <c r="Z30" s="9">
        <v>1804</v>
      </c>
      <c r="AA30" s="9">
        <v>1242461</v>
      </c>
      <c r="AB30" s="9">
        <v>9208</v>
      </c>
      <c r="AC30" s="9">
        <v>213971</v>
      </c>
      <c r="AD30" s="9">
        <v>246305</v>
      </c>
      <c r="AE30" s="9">
        <v>36491</v>
      </c>
      <c r="AF30" s="9">
        <v>12817</v>
      </c>
      <c r="AG30" s="9">
        <v>840360</v>
      </c>
      <c r="AH30" s="9">
        <v>359283</v>
      </c>
      <c r="AI30" s="9">
        <v>153354</v>
      </c>
      <c r="AJ30" s="9">
        <v>252304</v>
      </c>
      <c r="AK30" s="9">
        <v>85948</v>
      </c>
      <c r="AL30" s="10">
        <v>17350</v>
      </c>
    </row>
    <row r="31" spans="1:38" x14ac:dyDescent="0.25">
      <c r="A31" s="4">
        <v>30</v>
      </c>
      <c r="B31" s="5" t="s">
        <v>93</v>
      </c>
      <c r="C31" s="4" t="s">
        <v>94</v>
      </c>
      <c r="D31" s="13">
        <f>_xlfn.XLOOKUP(Table1[[#This Row],[Country / Territory]],[1]!Table9[Country],[1]!Table9[Total Pop],"None",0)</f>
        <v>1081294242</v>
      </c>
      <c r="E31" s="13">
        <f>_xlfn.XLOOKUP(Table1[[#This Row],[Country / Territory]],[1]!Table9[Country],[1]!Table9[Total F],"None",0)</f>
        <v>543421052</v>
      </c>
      <c r="F31" s="13">
        <f>_xlfn.XLOOKUP(Table1[[#This Row],[Country / Territory]],[1]!Table9[Country],[1]!Table9[Total M],"None",0)</f>
        <v>537873190</v>
      </c>
      <c r="G31" s="11">
        <v>8605263</v>
      </c>
      <c r="H31" s="11">
        <v>140063</v>
      </c>
      <c r="I31" s="11">
        <v>51425</v>
      </c>
      <c r="J31" s="11">
        <v>11205</v>
      </c>
      <c r="K31" s="11">
        <v>173201</v>
      </c>
      <c r="L31" s="11">
        <v>303684</v>
      </c>
      <c r="M31" s="11">
        <v>16553</v>
      </c>
      <c r="N31" s="11">
        <v>96919</v>
      </c>
      <c r="O31" s="11">
        <v>106386</v>
      </c>
      <c r="P31" s="11">
        <v>2583539</v>
      </c>
      <c r="Q31" s="11">
        <v>1496</v>
      </c>
      <c r="R31" s="11">
        <v>452070</v>
      </c>
      <c r="S31" s="11">
        <v>798827</v>
      </c>
      <c r="T31" s="11">
        <v>644983</v>
      </c>
      <c r="U31" s="11">
        <v>584643</v>
      </c>
      <c r="V31" s="11">
        <v>6408</v>
      </c>
      <c r="W31" s="11">
        <v>65367</v>
      </c>
      <c r="X31" s="11">
        <v>1546</v>
      </c>
      <c r="Y31" s="11">
        <v>729360</v>
      </c>
      <c r="Z31" s="11">
        <v>5862</v>
      </c>
      <c r="AA31" s="11">
        <v>409423</v>
      </c>
      <c r="AB31" s="11">
        <v>9319</v>
      </c>
      <c r="AC31" s="11">
        <v>116148</v>
      </c>
      <c r="AD31" s="11">
        <v>89063</v>
      </c>
      <c r="AE31" s="11">
        <v>19489</v>
      </c>
      <c r="AF31" s="11">
        <v>167652</v>
      </c>
      <c r="AG31" s="11">
        <v>100798</v>
      </c>
      <c r="AH31" s="11">
        <v>163945</v>
      </c>
      <c r="AI31" s="11">
        <v>272978</v>
      </c>
      <c r="AJ31" s="11">
        <v>428683</v>
      </c>
      <c r="AK31" s="11">
        <v>19466</v>
      </c>
      <c r="AL31" s="12">
        <v>34762</v>
      </c>
    </row>
    <row r="32" spans="1:38" x14ac:dyDescent="0.25">
      <c r="A32" s="2">
        <v>31</v>
      </c>
      <c r="B32" s="3" t="s">
        <v>95</v>
      </c>
      <c r="C32" s="2" t="s">
        <v>96</v>
      </c>
      <c r="D32" s="13">
        <f>_xlfn.XLOOKUP(Table1[[#This Row],[Country / Territory]],[1]!Table9[Country],[1]!Table9[Total Pop],"None",0)</f>
        <v>852666721</v>
      </c>
      <c r="E32" s="13">
        <f>_xlfn.XLOOKUP(Table1[[#This Row],[Country / Territory]],[1]!Table9[Country],[1]!Table9[Total F],"None",0)</f>
        <v>432609638</v>
      </c>
      <c r="F32" s="13">
        <f>_xlfn.XLOOKUP(Table1[[#This Row],[Country / Territory]],[1]!Table9[Country],[1]!Table9[Total M],"None",0)</f>
        <v>420057083</v>
      </c>
      <c r="G32" s="9">
        <v>8575533</v>
      </c>
      <c r="H32" s="9">
        <v>179942</v>
      </c>
      <c r="I32" s="9">
        <v>34155</v>
      </c>
      <c r="J32" s="9">
        <v>8228</v>
      </c>
      <c r="K32" s="9">
        <v>191830</v>
      </c>
      <c r="L32" s="9">
        <v>1265629</v>
      </c>
      <c r="M32" s="9">
        <v>22734</v>
      </c>
      <c r="N32" s="9">
        <v>50983</v>
      </c>
      <c r="O32" s="9">
        <v>56671</v>
      </c>
      <c r="P32" s="9">
        <v>2102167</v>
      </c>
      <c r="Q32" s="9">
        <v>785</v>
      </c>
      <c r="R32" s="9">
        <v>491292</v>
      </c>
      <c r="S32" s="9">
        <v>632868</v>
      </c>
      <c r="T32" s="9">
        <v>564036</v>
      </c>
      <c r="U32" s="9">
        <v>949090</v>
      </c>
      <c r="V32" s="9">
        <v>5467</v>
      </c>
      <c r="W32" s="9">
        <v>51079</v>
      </c>
      <c r="X32" s="9">
        <v>822</v>
      </c>
      <c r="Y32" s="9">
        <v>495526</v>
      </c>
      <c r="Z32" s="9">
        <v>4228</v>
      </c>
      <c r="AA32" s="9">
        <v>421210</v>
      </c>
      <c r="AB32" s="9">
        <v>23456</v>
      </c>
      <c r="AC32" s="9">
        <v>106337</v>
      </c>
      <c r="AD32" s="9">
        <v>72223</v>
      </c>
      <c r="AE32" s="9">
        <v>15581</v>
      </c>
      <c r="AF32" s="9">
        <v>187486</v>
      </c>
      <c r="AG32" s="9">
        <v>135004</v>
      </c>
      <c r="AH32" s="9">
        <v>142817</v>
      </c>
      <c r="AI32" s="9">
        <v>122997</v>
      </c>
      <c r="AJ32" s="9">
        <v>212761</v>
      </c>
      <c r="AK32" s="9">
        <v>17217</v>
      </c>
      <c r="AL32" s="10">
        <v>10912</v>
      </c>
    </row>
    <row r="33" spans="1:38" x14ac:dyDescent="0.25">
      <c r="A33" s="4">
        <v>32</v>
      </c>
      <c r="B33" s="5" t="s">
        <v>97</v>
      </c>
      <c r="C33" s="4" t="s">
        <v>98</v>
      </c>
      <c r="D33" s="13">
        <f>_xlfn.XLOOKUP(Table1[[#This Row],[Country / Territory]],[1]!Table9[Country],[1]!Table9[Total Pop],"None",0)</f>
        <v>1170470245</v>
      </c>
      <c r="E33" s="13">
        <f>_xlfn.XLOOKUP(Table1[[#This Row],[Country / Territory]],[1]!Table9[Country],[1]!Table9[Total F],"None",0)</f>
        <v>592509859</v>
      </c>
      <c r="F33" s="13">
        <f>_xlfn.XLOOKUP(Table1[[#This Row],[Country / Territory]],[1]!Table9[Country],[1]!Table9[Total M],"None",0)</f>
        <v>577960386</v>
      </c>
      <c r="G33" s="11">
        <v>8552888</v>
      </c>
      <c r="H33" s="11">
        <v>17548</v>
      </c>
      <c r="I33" s="11">
        <v>261721</v>
      </c>
      <c r="J33" s="11">
        <v>68278</v>
      </c>
      <c r="K33" s="11">
        <v>44066</v>
      </c>
      <c r="L33" s="11">
        <v>123</v>
      </c>
      <c r="M33" s="11">
        <v>24300</v>
      </c>
      <c r="N33" s="11">
        <v>72506</v>
      </c>
      <c r="O33" s="11">
        <v>12521</v>
      </c>
      <c r="P33" s="11">
        <v>48615</v>
      </c>
      <c r="Q33" s="11">
        <v>1535</v>
      </c>
      <c r="R33" s="11">
        <v>30389</v>
      </c>
      <c r="S33" s="11">
        <v>2836128</v>
      </c>
      <c r="T33" s="11">
        <v>697414</v>
      </c>
      <c r="U33" s="11">
        <v>173947</v>
      </c>
      <c r="V33" s="11">
        <v>27147</v>
      </c>
      <c r="W33" s="11">
        <v>127809</v>
      </c>
      <c r="X33" s="11">
        <v>425</v>
      </c>
      <c r="Y33" s="11">
        <v>23155</v>
      </c>
      <c r="Z33" s="11">
        <v>1567</v>
      </c>
      <c r="AA33" s="11">
        <v>2113666</v>
      </c>
      <c r="AB33" s="11">
        <v>773</v>
      </c>
      <c r="AC33" s="11">
        <v>278201</v>
      </c>
      <c r="AD33" s="11">
        <v>357513</v>
      </c>
      <c r="AE33" s="11">
        <v>8654</v>
      </c>
      <c r="AF33" s="11">
        <v>41935</v>
      </c>
      <c r="AG33" s="11">
        <v>172081</v>
      </c>
      <c r="AH33" s="11">
        <v>463952</v>
      </c>
      <c r="AI33" s="11">
        <v>201480</v>
      </c>
      <c r="AJ33" s="11">
        <v>422716</v>
      </c>
      <c r="AK33" s="11">
        <v>20991</v>
      </c>
      <c r="AL33" s="12">
        <v>1732</v>
      </c>
    </row>
    <row r="34" spans="1:38" x14ac:dyDescent="0.25">
      <c r="A34" s="2">
        <v>33</v>
      </c>
      <c r="B34" s="3" t="s">
        <v>99</v>
      </c>
      <c r="C34" s="2" t="s">
        <v>100</v>
      </c>
      <c r="D34" s="13">
        <f>_xlfn.XLOOKUP(Table1[[#This Row],[Country / Territory]],[1]!Table9[Country],[1]!Table9[Total Pop],"None",0)</f>
        <v>639258023</v>
      </c>
      <c r="E34" s="13">
        <f>_xlfn.XLOOKUP(Table1[[#This Row],[Country / Territory]],[1]!Table9[Country],[1]!Table9[Total F],"None",0)</f>
        <v>330935821</v>
      </c>
      <c r="F34" s="13">
        <f>_xlfn.XLOOKUP(Table1[[#This Row],[Country / Territory]],[1]!Table9[Country],[1]!Table9[Total M],"None",0)</f>
        <v>308322202</v>
      </c>
      <c r="G34" s="9">
        <v>7883515</v>
      </c>
      <c r="H34" s="9">
        <v>5396</v>
      </c>
      <c r="I34" s="9">
        <v>168815</v>
      </c>
      <c r="J34" s="9">
        <v>45803</v>
      </c>
      <c r="K34" s="9">
        <v>1841</v>
      </c>
      <c r="L34" s="9">
        <v>0</v>
      </c>
      <c r="M34" s="9">
        <v>35349</v>
      </c>
      <c r="N34" s="9">
        <v>20677</v>
      </c>
      <c r="O34" s="9">
        <v>2361</v>
      </c>
      <c r="P34" s="9">
        <v>7929</v>
      </c>
      <c r="Q34" s="9">
        <v>5639</v>
      </c>
      <c r="R34" s="9">
        <v>54183</v>
      </c>
      <c r="S34" s="9">
        <v>4474916</v>
      </c>
      <c r="T34" s="9">
        <v>206799</v>
      </c>
      <c r="U34" s="9">
        <v>31980</v>
      </c>
      <c r="V34" s="9">
        <v>33121</v>
      </c>
      <c r="W34" s="9">
        <v>79917</v>
      </c>
      <c r="X34" s="9">
        <v>349</v>
      </c>
      <c r="Y34" s="9">
        <v>4394</v>
      </c>
      <c r="Z34" s="9">
        <v>11979</v>
      </c>
      <c r="AA34" s="9">
        <v>1352953</v>
      </c>
      <c r="AB34" s="9">
        <v>633</v>
      </c>
      <c r="AC34" s="9">
        <v>63448</v>
      </c>
      <c r="AD34" s="9">
        <v>69874</v>
      </c>
      <c r="AE34" s="9">
        <v>18663</v>
      </c>
      <c r="AF34" s="9">
        <v>1511</v>
      </c>
      <c r="AG34" s="9">
        <v>100480</v>
      </c>
      <c r="AH34" s="9">
        <v>288146</v>
      </c>
      <c r="AI34" s="9">
        <v>329765</v>
      </c>
      <c r="AJ34" s="9">
        <v>449027</v>
      </c>
      <c r="AK34" s="9">
        <v>16599</v>
      </c>
      <c r="AL34" s="10">
        <v>968</v>
      </c>
    </row>
    <row r="35" spans="1:38" x14ac:dyDescent="0.25">
      <c r="A35" s="4">
        <v>34</v>
      </c>
      <c r="B35" s="5" t="s">
        <v>101</v>
      </c>
      <c r="C35" s="4" t="s">
        <v>102</v>
      </c>
      <c r="D35" s="13">
        <f>_xlfn.XLOOKUP(Table1[[#This Row],[Country / Territory]],[1]!Table9[Country],[1]!Table9[Total Pop],"None",0)</f>
        <v>1437701139</v>
      </c>
      <c r="E35" s="13">
        <f>_xlfn.XLOOKUP(Table1[[#This Row],[Country / Territory]],[1]!Table9[Country],[1]!Table9[Total F],"None",0)</f>
        <v>708583056</v>
      </c>
      <c r="F35" s="13">
        <f>_xlfn.XLOOKUP(Table1[[#This Row],[Country / Territory]],[1]!Table9[Country],[1]!Table9[Total M],"None",0)</f>
        <v>729118083</v>
      </c>
      <c r="G35" s="11">
        <v>7540359</v>
      </c>
      <c r="H35" s="11">
        <v>5844</v>
      </c>
      <c r="I35" s="11">
        <v>271861</v>
      </c>
      <c r="J35" s="11">
        <v>55134</v>
      </c>
      <c r="K35" s="11">
        <v>9919</v>
      </c>
      <c r="L35" s="11">
        <v>162</v>
      </c>
      <c r="M35" s="11">
        <v>39111</v>
      </c>
      <c r="N35" s="11">
        <v>29741</v>
      </c>
      <c r="O35" s="11">
        <v>2374</v>
      </c>
      <c r="P35" s="11">
        <v>2780</v>
      </c>
      <c r="Q35" s="11">
        <v>4041</v>
      </c>
      <c r="R35" s="11">
        <v>125935</v>
      </c>
      <c r="S35" s="11">
        <v>2078568</v>
      </c>
      <c r="T35" s="11">
        <v>215693</v>
      </c>
      <c r="U35" s="11">
        <v>38693</v>
      </c>
      <c r="V35" s="11">
        <v>34316</v>
      </c>
      <c r="W35" s="11">
        <v>339017</v>
      </c>
      <c r="X35" s="11">
        <v>2506</v>
      </c>
      <c r="Y35" s="11">
        <v>18152</v>
      </c>
      <c r="Z35" s="11">
        <v>9216</v>
      </c>
      <c r="AA35" s="11">
        <v>2196530</v>
      </c>
      <c r="AB35" s="11">
        <v>299</v>
      </c>
      <c r="AC35" s="11">
        <v>320632</v>
      </c>
      <c r="AD35" s="11">
        <v>141262</v>
      </c>
      <c r="AE35" s="11">
        <v>12520</v>
      </c>
      <c r="AF35" s="11">
        <v>5320</v>
      </c>
      <c r="AG35" s="11">
        <v>309564</v>
      </c>
      <c r="AH35" s="11">
        <v>381143</v>
      </c>
      <c r="AI35" s="11">
        <v>355103</v>
      </c>
      <c r="AJ35" s="11">
        <v>512816</v>
      </c>
      <c r="AK35" s="11">
        <v>20072</v>
      </c>
      <c r="AL35" s="12">
        <v>2035</v>
      </c>
    </row>
    <row r="36" spans="1:38" x14ac:dyDescent="0.25">
      <c r="A36" s="2">
        <v>35</v>
      </c>
      <c r="B36" s="3" t="s">
        <v>103</v>
      </c>
      <c r="C36" s="2" t="s">
        <v>104</v>
      </c>
      <c r="D36" s="13">
        <f>_xlfn.XLOOKUP(Table1[[#This Row],[Country / Territory]],[1]!Table9[Country],[1]!Table9[Total Pop],"None",0)</f>
        <v>617851830</v>
      </c>
      <c r="E36" s="13">
        <f>_xlfn.XLOOKUP(Table1[[#This Row],[Country / Territory]],[1]!Table9[Country],[1]!Table9[Total F],"None",0)</f>
        <v>319845915</v>
      </c>
      <c r="F36" s="13">
        <f>_xlfn.XLOOKUP(Table1[[#This Row],[Country / Territory]],[1]!Table9[Country],[1]!Table9[Total M],"None",0)</f>
        <v>298005915</v>
      </c>
      <c r="G36" s="9">
        <v>7045726</v>
      </c>
      <c r="H36" s="9">
        <v>120772</v>
      </c>
      <c r="I36" s="9">
        <v>31971</v>
      </c>
      <c r="J36" s="9">
        <v>6976</v>
      </c>
      <c r="K36" s="9">
        <v>195650</v>
      </c>
      <c r="L36" s="9">
        <v>817948</v>
      </c>
      <c r="M36" s="9">
        <v>22265</v>
      </c>
      <c r="N36" s="9">
        <v>33861</v>
      </c>
      <c r="O36" s="9">
        <v>52371</v>
      </c>
      <c r="P36" s="9">
        <v>1541266</v>
      </c>
      <c r="Q36" s="9">
        <v>1804</v>
      </c>
      <c r="R36" s="9">
        <v>602652</v>
      </c>
      <c r="S36" s="9">
        <v>666919</v>
      </c>
      <c r="T36" s="9">
        <v>546527</v>
      </c>
      <c r="U36" s="9">
        <v>734771</v>
      </c>
      <c r="V36" s="9">
        <v>5048</v>
      </c>
      <c r="W36" s="9">
        <v>46724</v>
      </c>
      <c r="X36" s="9">
        <v>2592</v>
      </c>
      <c r="Y36" s="9">
        <v>514639</v>
      </c>
      <c r="Z36" s="9">
        <v>4100</v>
      </c>
      <c r="AA36" s="9">
        <v>266464</v>
      </c>
      <c r="AB36" s="9">
        <v>5574</v>
      </c>
      <c r="AC36" s="9">
        <v>93783</v>
      </c>
      <c r="AD36" s="9">
        <v>58349</v>
      </c>
      <c r="AE36" s="9">
        <v>16546</v>
      </c>
      <c r="AF36" s="9">
        <v>188945</v>
      </c>
      <c r="AG36" s="9">
        <v>114554</v>
      </c>
      <c r="AH36" s="9">
        <v>94550</v>
      </c>
      <c r="AI36" s="9">
        <v>66310</v>
      </c>
      <c r="AJ36" s="9">
        <v>156332</v>
      </c>
      <c r="AK36" s="9">
        <v>18141</v>
      </c>
      <c r="AL36" s="10">
        <v>17322</v>
      </c>
    </row>
    <row r="37" spans="1:38" x14ac:dyDescent="0.25">
      <c r="A37" s="4">
        <v>36</v>
      </c>
      <c r="B37" s="5" t="s">
        <v>105</v>
      </c>
      <c r="C37" s="4" t="s">
        <v>106</v>
      </c>
      <c r="D37" s="13">
        <f>_xlfn.XLOOKUP(Table1[[#This Row],[Country / Territory]],[1]!Table9[Country],[1]!Table9[Total Pop],"None",0)</f>
        <v>722362630</v>
      </c>
      <c r="E37" s="13">
        <f>_xlfn.XLOOKUP(Table1[[#This Row],[Country / Territory]],[1]!Table9[Country],[1]!Table9[Total F],"None",0)</f>
        <v>369312847</v>
      </c>
      <c r="F37" s="13">
        <f>_xlfn.XLOOKUP(Table1[[#This Row],[Country / Territory]],[1]!Table9[Country],[1]!Table9[Total M],"None",0)</f>
        <v>353049783</v>
      </c>
      <c r="G37" s="11">
        <v>7029044</v>
      </c>
      <c r="H37" s="11">
        <v>14250</v>
      </c>
      <c r="I37" s="11">
        <v>88087</v>
      </c>
      <c r="J37" s="11">
        <v>26290</v>
      </c>
      <c r="K37" s="11">
        <v>632056</v>
      </c>
      <c r="L37" s="11">
        <v>81</v>
      </c>
      <c r="M37" s="11">
        <v>59067</v>
      </c>
      <c r="N37" s="11">
        <v>26585</v>
      </c>
      <c r="O37" s="11">
        <v>16471</v>
      </c>
      <c r="P37" s="11">
        <v>9620</v>
      </c>
      <c r="Q37" s="11">
        <v>7973</v>
      </c>
      <c r="R37" s="11">
        <v>106488</v>
      </c>
      <c r="S37" s="11">
        <v>2241454</v>
      </c>
      <c r="T37" s="11">
        <v>253159</v>
      </c>
      <c r="U37" s="11">
        <v>210676</v>
      </c>
      <c r="V37" s="11">
        <v>9524</v>
      </c>
      <c r="W37" s="11">
        <v>88069</v>
      </c>
      <c r="X37" s="11">
        <v>2669</v>
      </c>
      <c r="Y37" s="11">
        <v>18000</v>
      </c>
      <c r="Z37" s="11">
        <v>3272</v>
      </c>
      <c r="AA37" s="11">
        <v>978429</v>
      </c>
      <c r="AB37" s="11">
        <v>3</v>
      </c>
      <c r="AC37" s="11">
        <v>95880</v>
      </c>
      <c r="AD37" s="11">
        <v>102116</v>
      </c>
      <c r="AE37" s="11">
        <v>12984</v>
      </c>
      <c r="AF37" s="11">
        <v>629389</v>
      </c>
      <c r="AG37" s="11">
        <v>229844</v>
      </c>
      <c r="AH37" s="11">
        <v>780804</v>
      </c>
      <c r="AI37" s="11">
        <v>132430</v>
      </c>
      <c r="AJ37" s="11">
        <v>236074</v>
      </c>
      <c r="AK37" s="11">
        <v>9595</v>
      </c>
      <c r="AL37" s="12">
        <v>7705</v>
      </c>
    </row>
    <row r="38" spans="1:38" x14ac:dyDescent="0.25">
      <c r="A38" s="2">
        <v>37</v>
      </c>
      <c r="B38" s="3" t="s">
        <v>107</v>
      </c>
      <c r="C38" s="2" t="s">
        <v>108</v>
      </c>
      <c r="D38" s="13">
        <f>_xlfn.XLOOKUP(Table1[[#This Row],[Country / Territory]],[1]!Table9[Country],[1]!Table9[Total Pop],"None",0)</f>
        <v>969012482</v>
      </c>
      <c r="E38" s="13">
        <f>_xlfn.XLOOKUP(Table1[[#This Row],[Country / Territory]],[1]!Table9[Country],[1]!Table9[Total F],"None",0)</f>
        <v>488869045</v>
      </c>
      <c r="F38" s="13">
        <f>_xlfn.XLOOKUP(Table1[[#This Row],[Country / Territory]],[1]!Table9[Country],[1]!Table9[Total M],"None",0)</f>
        <v>480143437</v>
      </c>
      <c r="G38" s="9">
        <v>6534938</v>
      </c>
      <c r="H38" s="9">
        <v>3088</v>
      </c>
      <c r="I38" s="9">
        <v>317320</v>
      </c>
      <c r="J38" s="9">
        <v>82441</v>
      </c>
      <c r="K38" s="9">
        <v>8996</v>
      </c>
      <c r="L38" s="9">
        <v>0</v>
      </c>
      <c r="M38" s="9">
        <v>9602</v>
      </c>
      <c r="N38" s="9">
        <v>16095</v>
      </c>
      <c r="O38" s="9">
        <v>768</v>
      </c>
      <c r="P38" s="9">
        <v>17171</v>
      </c>
      <c r="Q38" s="9">
        <v>37251</v>
      </c>
      <c r="R38" s="9">
        <v>4676</v>
      </c>
      <c r="S38" s="9">
        <v>2213352</v>
      </c>
      <c r="T38" s="9">
        <v>214127</v>
      </c>
      <c r="U38" s="9">
        <v>31372</v>
      </c>
      <c r="V38" s="9">
        <v>30411</v>
      </c>
      <c r="W38" s="9">
        <v>133442</v>
      </c>
      <c r="X38" s="9">
        <v>366</v>
      </c>
      <c r="Y38" s="9">
        <v>29015</v>
      </c>
      <c r="Z38" s="9">
        <v>3968</v>
      </c>
      <c r="AA38" s="9">
        <v>2112700</v>
      </c>
      <c r="AB38" s="9">
        <v>185</v>
      </c>
      <c r="AC38" s="9">
        <v>195320</v>
      </c>
      <c r="AD38" s="9">
        <v>145149</v>
      </c>
      <c r="AE38" s="9">
        <v>4193</v>
      </c>
      <c r="AF38" s="9">
        <v>7291</v>
      </c>
      <c r="AG38" s="9">
        <v>92479</v>
      </c>
      <c r="AH38" s="9">
        <v>402093</v>
      </c>
      <c r="AI38" s="9">
        <v>123127</v>
      </c>
      <c r="AJ38" s="9">
        <v>288628</v>
      </c>
      <c r="AK38" s="9">
        <v>9910</v>
      </c>
      <c r="AL38" s="10">
        <v>402</v>
      </c>
    </row>
    <row r="39" spans="1:38" x14ac:dyDescent="0.25">
      <c r="A39" s="4">
        <v>38</v>
      </c>
      <c r="B39" s="5" t="s">
        <v>109</v>
      </c>
      <c r="C39" s="4" t="s">
        <v>110</v>
      </c>
      <c r="D39" s="13">
        <f>_xlfn.XLOOKUP(Table1[[#This Row],[Country / Territory]],[1]!Table9[Country],[1]!Table9[Total Pop],"None",0)</f>
        <v>953294127</v>
      </c>
      <c r="E39" s="13">
        <f>_xlfn.XLOOKUP(Table1[[#This Row],[Country / Territory]],[1]!Table9[Country],[1]!Table9[Total F],"None",0)</f>
        <v>477996196</v>
      </c>
      <c r="F39" s="13">
        <f>_xlfn.XLOOKUP(Table1[[#This Row],[Country / Territory]],[1]!Table9[Country],[1]!Table9[Total M],"None",0)</f>
        <v>475297931</v>
      </c>
      <c r="G39" s="11">
        <v>5986750</v>
      </c>
      <c r="H39" s="11">
        <v>52004</v>
      </c>
      <c r="I39" s="11">
        <v>62346</v>
      </c>
      <c r="J39" s="11">
        <v>15624</v>
      </c>
      <c r="K39" s="11">
        <v>73456</v>
      </c>
      <c r="L39" s="11">
        <v>100763</v>
      </c>
      <c r="M39" s="11">
        <v>62584</v>
      </c>
      <c r="N39" s="11">
        <v>30941</v>
      </c>
      <c r="O39" s="11">
        <v>89630</v>
      </c>
      <c r="P39" s="11">
        <v>91233</v>
      </c>
      <c r="Q39" s="11">
        <v>6526</v>
      </c>
      <c r="R39" s="11">
        <v>57868</v>
      </c>
      <c r="S39" s="11">
        <v>1887465</v>
      </c>
      <c r="T39" s="11">
        <v>374139</v>
      </c>
      <c r="U39" s="11">
        <v>934503</v>
      </c>
      <c r="V39" s="11">
        <v>2487</v>
      </c>
      <c r="W39" s="11">
        <v>49751</v>
      </c>
      <c r="X39" s="11">
        <v>1059</v>
      </c>
      <c r="Y39" s="11">
        <v>561001</v>
      </c>
      <c r="Z39" s="11">
        <v>2039</v>
      </c>
      <c r="AA39" s="11">
        <v>359195</v>
      </c>
      <c r="AB39" s="11">
        <v>92787</v>
      </c>
      <c r="AC39" s="11">
        <v>52868</v>
      </c>
      <c r="AD39" s="11">
        <v>106168</v>
      </c>
      <c r="AE39" s="11">
        <v>25388</v>
      </c>
      <c r="AF39" s="11">
        <v>70645</v>
      </c>
      <c r="AG39" s="11">
        <v>212125</v>
      </c>
      <c r="AH39" s="11">
        <v>214960</v>
      </c>
      <c r="AI39" s="11">
        <v>111989</v>
      </c>
      <c r="AJ39" s="11">
        <v>171067</v>
      </c>
      <c r="AK39" s="11">
        <v>46951</v>
      </c>
      <c r="AL39" s="12">
        <v>67188</v>
      </c>
    </row>
    <row r="40" spans="1:38" x14ac:dyDescent="0.25">
      <c r="A40" s="2">
        <v>39</v>
      </c>
      <c r="B40" s="3" t="s">
        <v>111</v>
      </c>
      <c r="C40" s="2" t="s">
        <v>112</v>
      </c>
      <c r="D40" s="13">
        <f>_xlfn.XLOOKUP(Table1[[#This Row],[Country / Territory]],[1]!Table9[Country],[1]!Table9[Total Pop],"None",0)</f>
        <v>730287672</v>
      </c>
      <c r="E40" s="13">
        <f>_xlfn.XLOOKUP(Table1[[#This Row],[Country / Territory]],[1]!Table9[Country],[1]!Table9[Total F],"None",0)</f>
        <v>362708431</v>
      </c>
      <c r="F40" s="13">
        <f>_xlfn.XLOOKUP(Table1[[#This Row],[Country / Territory]],[1]!Table9[Country],[1]!Table9[Total M],"None",0)</f>
        <v>367579241</v>
      </c>
      <c r="G40" s="9">
        <v>5982631</v>
      </c>
      <c r="H40" s="9">
        <v>78666</v>
      </c>
      <c r="I40" s="9">
        <v>41998</v>
      </c>
      <c r="J40" s="9">
        <v>13397</v>
      </c>
      <c r="K40" s="9">
        <v>71453</v>
      </c>
      <c r="L40" s="9">
        <v>13924</v>
      </c>
      <c r="M40" s="9">
        <v>56536</v>
      </c>
      <c r="N40" s="9">
        <v>108228</v>
      </c>
      <c r="O40" s="9">
        <v>129621</v>
      </c>
      <c r="P40" s="9">
        <v>4282</v>
      </c>
      <c r="Q40" s="9">
        <v>7094</v>
      </c>
      <c r="R40" s="9">
        <v>147637</v>
      </c>
      <c r="S40" s="9">
        <v>1607042</v>
      </c>
      <c r="T40" s="9">
        <v>822179</v>
      </c>
      <c r="U40" s="9">
        <v>697534</v>
      </c>
      <c r="V40" s="9">
        <v>3257</v>
      </c>
      <c r="W40" s="9">
        <v>37054</v>
      </c>
      <c r="X40" s="9">
        <v>16770</v>
      </c>
      <c r="Y40" s="9">
        <v>245832</v>
      </c>
      <c r="Z40" s="9">
        <v>2187</v>
      </c>
      <c r="AA40" s="9">
        <v>469611</v>
      </c>
      <c r="AB40" s="9">
        <v>280520</v>
      </c>
      <c r="AC40" s="9">
        <v>93207</v>
      </c>
      <c r="AD40" s="9">
        <v>134676</v>
      </c>
      <c r="AE40" s="9">
        <v>14530</v>
      </c>
      <c r="AF40" s="9">
        <v>70163</v>
      </c>
      <c r="AG40" s="9">
        <v>208331</v>
      </c>
      <c r="AH40" s="9">
        <v>209857</v>
      </c>
      <c r="AI40" s="9">
        <v>98419</v>
      </c>
      <c r="AJ40" s="9">
        <v>186959</v>
      </c>
      <c r="AK40" s="9">
        <v>13559</v>
      </c>
      <c r="AL40" s="10">
        <v>98108</v>
      </c>
    </row>
    <row r="41" spans="1:38" x14ac:dyDescent="0.25">
      <c r="A41" s="4">
        <v>40</v>
      </c>
      <c r="B41" s="5" t="s">
        <v>113</v>
      </c>
      <c r="C41" s="4" t="s">
        <v>114</v>
      </c>
      <c r="D41" s="13">
        <f>_xlfn.XLOOKUP(Table1[[#This Row],[Country / Territory]],[1]!Table9[Country],[1]!Table9[Total Pop],"None",0)</f>
        <v>1242134475</v>
      </c>
      <c r="E41" s="13">
        <f>_xlfn.XLOOKUP(Table1[[#This Row],[Country / Territory]],[1]!Table9[Country],[1]!Table9[Total F],"None",0)</f>
        <v>626177376</v>
      </c>
      <c r="F41" s="13">
        <f>_xlfn.XLOOKUP(Table1[[#This Row],[Country / Territory]],[1]!Table9[Country],[1]!Table9[Total M],"None",0)</f>
        <v>615957099</v>
      </c>
      <c r="G41" s="11">
        <v>5849272</v>
      </c>
      <c r="H41" s="11">
        <v>21865</v>
      </c>
      <c r="I41" s="11">
        <v>206135</v>
      </c>
      <c r="J41" s="11">
        <v>33628</v>
      </c>
      <c r="K41" s="11">
        <v>49530</v>
      </c>
      <c r="L41" s="11">
        <v>22275</v>
      </c>
      <c r="M41" s="11">
        <v>40400</v>
      </c>
      <c r="N41" s="11">
        <v>709555</v>
      </c>
      <c r="O41" s="11">
        <v>18788</v>
      </c>
      <c r="P41" s="11">
        <v>62413</v>
      </c>
      <c r="Q41" s="11">
        <v>2889</v>
      </c>
      <c r="R41" s="11">
        <v>34691</v>
      </c>
      <c r="S41" s="11">
        <v>1626208</v>
      </c>
      <c r="T41" s="11">
        <v>214455</v>
      </c>
      <c r="U41" s="11">
        <v>276396</v>
      </c>
      <c r="V41" s="11">
        <v>2896</v>
      </c>
      <c r="W41" s="11">
        <v>71521</v>
      </c>
      <c r="X41" s="11">
        <v>5883</v>
      </c>
      <c r="Y41" s="11">
        <v>61359</v>
      </c>
      <c r="Z41" s="11">
        <v>607</v>
      </c>
      <c r="AA41" s="11">
        <v>1042371</v>
      </c>
      <c r="AB41" s="11">
        <v>33084</v>
      </c>
      <c r="AC41" s="11">
        <v>161139</v>
      </c>
      <c r="AD41" s="11">
        <v>174282</v>
      </c>
      <c r="AE41" s="11">
        <v>3442</v>
      </c>
      <c r="AF41" s="11">
        <v>47592</v>
      </c>
      <c r="AG41" s="11">
        <v>224805</v>
      </c>
      <c r="AH41" s="11">
        <v>346961</v>
      </c>
      <c r="AI41" s="11">
        <v>92316</v>
      </c>
      <c r="AJ41" s="11">
        <v>252124</v>
      </c>
      <c r="AK41" s="11">
        <v>8913</v>
      </c>
      <c r="AL41" s="12">
        <v>749</v>
      </c>
    </row>
    <row r="42" spans="1:38" x14ac:dyDescent="0.25">
      <c r="A42" s="2">
        <v>41</v>
      </c>
      <c r="B42" s="3" t="s">
        <v>115</v>
      </c>
      <c r="C42" s="2" t="s">
        <v>116</v>
      </c>
      <c r="D42" s="13">
        <f>_xlfn.XLOOKUP(Table1[[#This Row],[Country / Territory]],[1]!Table9[Country],[1]!Table9[Total Pop],"None",0)</f>
        <v>595764081</v>
      </c>
      <c r="E42" s="13">
        <f>_xlfn.XLOOKUP(Table1[[#This Row],[Country / Territory]],[1]!Table9[Country],[1]!Table9[Total F],"None",0)</f>
        <v>293887692</v>
      </c>
      <c r="F42" s="13">
        <f>_xlfn.XLOOKUP(Table1[[#This Row],[Country / Territory]],[1]!Table9[Country],[1]!Table9[Total M],"None",0)</f>
        <v>301876389</v>
      </c>
      <c r="G42" s="9">
        <v>5732265</v>
      </c>
      <c r="H42" s="9">
        <v>102377</v>
      </c>
      <c r="I42" s="9">
        <v>20768</v>
      </c>
      <c r="J42" s="9">
        <v>7400</v>
      </c>
      <c r="K42" s="9">
        <v>43512</v>
      </c>
      <c r="L42" s="9">
        <v>941597</v>
      </c>
      <c r="M42" s="9">
        <v>18365</v>
      </c>
      <c r="N42" s="9">
        <v>54438</v>
      </c>
      <c r="O42" s="9">
        <v>72153</v>
      </c>
      <c r="P42" s="9">
        <v>1063120</v>
      </c>
      <c r="Q42" s="9">
        <v>838</v>
      </c>
      <c r="R42" s="9">
        <v>233951</v>
      </c>
      <c r="S42" s="9">
        <v>508223</v>
      </c>
      <c r="T42" s="9">
        <v>597568</v>
      </c>
      <c r="U42" s="9">
        <v>738820</v>
      </c>
      <c r="V42" s="9">
        <v>4412</v>
      </c>
      <c r="W42" s="9">
        <v>46755</v>
      </c>
      <c r="X42" s="9">
        <v>196</v>
      </c>
      <c r="Y42" s="9">
        <v>356626</v>
      </c>
      <c r="Z42" s="9">
        <v>3589</v>
      </c>
      <c r="AA42" s="9">
        <v>237471</v>
      </c>
      <c r="AB42" s="9">
        <v>5238</v>
      </c>
      <c r="AC42" s="9">
        <v>74322</v>
      </c>
      <c r="AD42" s="9">
        <v>77632</v>
      </c>
      <c r="AE42" s="9">
        <v>10679</v>
      </c>
      <c r="AF42" s="9">
        <v>41656</v>
      </c>
      <c r="AG42" s="9">
        <v>88588</v>
      </c>
      <c r="AH42" s="9">
        <v>90757</v>
      </c>
      <c r="AI42" s="9">
        <v>101618</v>
      </c>
      <c r="AJ42" s="9">
        <v>167433</v>
      </c>
      <c r="AK42" s="9">
        <v>14061</v>
      </c>
      <c r="AL42" s="10">
        <v>8102</v>
      </c>
    </row>
    <row r="43" spans="1:38" x14ac:dyDescent="0.25">
      <c r="A43" s="4">
        <v>42</v>
      </c>
      <c r="B43" s="5" t="s">
        <v>117</v>
      </c>
      <c r="C43" s="4" t="s">
        <v>118</v>
      </c>
      <c r="D43" s="13">
        <f>_xlfn.XLOOKUP(Table1[[#This Row],[Country / Territory]],[1]!Table9[Country],[1]!Table9[Total Pop],"None",0)</f>
        <v>794196670</v>
      </c>
      <c r="E43" s="13">
        <f>_xlfn.XLOOKUP(Table1[[#This Row],[Country / Territory]],[1]!Table9[Country],[1]!Table9[Total F],"None",0)</f>
        <v>394873138</v>
      </c>
      <c r="F43" s="13">
        <f>_xlfn.XLOOKUP(Table1[[#This Row],[Country / Territory]],[1]!Table9[Country],[1]!Table9[Total M],"None",0)</f>
        <v>399323532</v>
      </c>
      <c r="G43" s="11">
        <v>5581614</v>
      </c>
      <c r="H43" s="11">
        <v>16674</v>
      </c>
      <c r="I43" s="11">
        <v>41265</v>
      </c>
      <c r="J43" s="11">
        <v>13633</v>
      </c>
      <c r="K43" s="11">
        <v>3497</v>
      </c>
      <c r="L43" s="11">
        <v>48</v>
      </c>
      <c r="M43" s="11">
        <v>66631</v>
      </c>
      <c r="N43" s="11">
        <v>28015</v>
      </c>
      <c r="O43" s="11">
        <v>6896</v>
      </c>
      <c r="P43" s="11">
        <v>12309</v>
      </c>
      <c r="Q43" s="11">
        <v>3456</v>
      </c>
      <c r="R43" s="11">
        <v>95035</v>
      </c>
      <c r="S43" s="11">
        <v>2749832</v>
      </c>
      <c r="T43" s="11">
        <v>475207</v>
      </c>
      <c r="U43" s="11">
        <v>232126</v>
      </c>
      <c r="V43" s="11">
        <v>14820</v>
      </c>
      <c r="W43" s="11">
        <v>83791</v>
      </c>
      <c r="X43" s="11">
        <v>117</v>
      </c>
      <c r="Y43" s="11">
        <v>35431</v>
      </c>
      <c r="Z43" s="11">
        <v>4880</v>
      </c>
      <c r="AA43" s="11">
        <v>505008</v>
      </c>
      <c r="AB43" s="11">
        <v>855</v>
      </c>
      <c r="AC43" s="11">
        <v>137009</v>
      </c>
      <c r="AD43" s="11">
        <v>105239</v>
      </c>
      <c r="AE43" s="11">
        <v>10519</v>
      </c>
      <c r="AF43" s="11">
        <v>755</v>
      </c>
      <c r="AG43" s="11">
        <v>120419</v>
      </c>
      <c r="AH43" s="11">
        <v>146544</v>
      </c>
      <c r="AI43" s="11">
        <v>288771</v>
      </c>
      <c r="AJ43" s="11">
        <v>341410</v>
      </c>
      <c r="AK43" s="11">
        <v>29237</v>
      </c>
      <c r="AL43" s="12">
        <v>12185</v>
      </c>
    </row>
    <row r="44" spans="1:38" x14ac:dyDescent="0.25">
      <c r="A44" s="2">
        <v>43</v>
      </c>
      <c r="B44" s="3" t="s">
        <v>119</v>
      </c>
      <c r="C44" s="2" t="s">
        <v>120</v>
      </c>
      <c r="D44" s="13">
        <f>_xlfn.XLOOKUP(Table1[[#This Row],[Country / Territory]],[1]!Table9[Country],[1]!Table9[Total Pop],"None",0)</f>
        <v>907841420</v>
      </c>
      <c r="E44" s="13">
        <f>_xlfn.XLOOKUP(Table1[[#This Row],[Country / Territory]],[1]!Table9[Country],[1]!Table9[Total F],"None",0)</f>
        <v>451574947</v>
      </c>
      <c r="F44" s="13">
        <f>_xlfn.XLOOKUP(Table1[[#This Row],[Country / Territory]],[1]!Table9[Country],[1]!Table9[Total M],"None",0)</f>
        <v>456266473</v>
      </c>
      <c r="G44" s="9">
        <v>5574036</v>
      </c>
      <c r="H44" s="9">
        <v>29170</v>
      </c>
      <c r="I44" s="9">
        <v>102231</v>
      </c>
      <c r="J44" s="9">
        <v>24816</v>
      </c>
      <c r="K44" s="9">
        <v>9729</v>
      </c>
      <c r="L44" s="9">
        <v>0</v>
      </c>
      <c r="M44" s="9">
        <v>17133</v>
      </c>
      <c r="N44" s="9">
        <v>10907</v>
      </c>
      <c r="O44" s="9">
        <v>38902</v>
      </c>
      <c r="P44" s="9">
        <v>17552</v>
      </c>
      <c r="Q44" s="9">
        <v>7718</v>
      </c>
      <c r="R44" s="9">
        <v>168232</v>
      </c>
      <c r="S44" s="9">
        <v>2551096</v>
      </c>
      <c r="T44" s="9">
        <v>252563</v>
      </c>
      <c r="U44" s="9">
        <v>400341</v>
      </c>
      <c r="V44" s="9">
        <v>2745</v>
      </c>
      <c r="W44" s="9">
        <v>76054</v>
      </c>
      <c r="X44" s="9">
        <v>1847</v>
      </c>
      <c r="Y44" s="9">
        <v>153225</v>
      </c>
      <c r="Z44" s="9">
        <v>3521</v>
      </c>
      <c r="AA44" s="9">
        <v>543654</v>
      </c>
      <c r="AB44" s="9">
        <v>171</v>
      </c>
      <c r="AC44" s="9">
        <v>112749</v>
      </c>
      <c r="AD44" s="9">
        <v>182577</v>
      </c>
      <c r="AE44" s="9">
        <v>8898</v>
      </c>
      <c r="AF44" s="9">
        <v>8554</v>
      </c>
      <c r="AG44" s="9">
        <v>305148</v>
      </c>
      <c r="AH44" s="9">
        <v>213543</v>
      </c>
      <c r="AI44" s="9">
        <v>105855</v>
      </c>
      <c r="AJ44" s="9">
        <v>179607</v>
      </c>
      <c r="AK44" s="9">
        <v>29598</v>
      </c>
      <c r="AL44" s="10">
        <v>15900</v>
      </c>
    </row>
    <row r="45" spans="1:38" x14ac:dyDescent="0.25">
      <c r="A45" s="4">
        <v>44</v>
      </c>
      <c r="B45" s="5" t="s">
        <v>121</v>
      </c>
      <c r="C45" s="4" t="s">
        <v>122</v>
      </c>
      <c r="D45" s="13">
        <f>_xlfn.XLOOKUP(Table1[[#This Row],[Country / Territory]],[1]!Table9[Country],[1]!Table9[Total Pop],"None",0)</f>
        <v>677869170</v>
      </c>
      <c r="E45" s="13">
        <f>_xlfn.XLOOKUP(Table1[[#This Row],[Country / Territory]],[1]!Table9[Country],[1]!Table9[Total F],"None",0)</f>
        <v>339715485</v>
      </c>
      <c r="F45" s="13">
        <f>_xlfn.XLOOKUP(Table1[[#This Row],[Country / Territory]],[1]!Table9[Country],[1]!Table9[Total M],"None",0)</f>
        <v>338153685</v>
      </c>
      <c r="G45" s="11">
        <v>5448868</v>
      </c>
      <c r="H45" s="11">
        <v>128260</v>
      </c>
      <c r="I45" s="11">
        <v>34949</v>
      </c>
      <c r="J45" s="11">
        <v>9136</v>
      </c>
      <c r="K45" s="11">
        <v>100393</v>
      </c>
      <c r="L45" s="11">
        <v>721339</v>
      </c>
      <c r="M45" s="11">
        <v>16423</v>
      </c>
      <c r="N45" s="11">
        <v>23702</v>
      </c>
      <c r="O45" s="11">
        <v>40268</v>
      </c>
      <c r="P45" s="11">
        <v>493463</v>
      </c>
      <c r="Q45" s="11">
        <v>999</v>
      </c>
      <c r="R45" s="11">
        <v>319504</v>
      </c>
      <c r="S45" s="11">
        <v>794129</v>
      </c>
      <c r="T45" s="11">
        <v>448884</v>
      </c>
      <c r="U45" s="11">
        <v>535127</v>
      </c>
      <c r="V45" s="11">
        <v>4633</v>
      </c>
      <c r="W45" s="11">
        <v>41731</v>
      </c>
      <c r="X45" s="11">
        <v>491</v>
      </c>
      <c r="Y45" s="11">
        <v>370749</v>
      </c>
      <c r="Z45" s="11">
        <v>3421</v>
      </c>
      <c r="AA45" s="11">
        <v>362921</v>
      </c>
      <c r="AB45" s="11">
        <v>334</v>
      </c>
      <c r="AC45" s="11">
        <v>117346</v>
      </c>
      <c r="AD45" s="11">
        <v>91364</v>
      </c>
      <c r="AE45" s="11">
        <v>11060</v>
      </c>
      <c r="AF45" s="11">
        <v>96591</v>
      </c>
      <c r="AG45" s="11">
        <v>124478</v>
      </c>
      <c r="AH45" s="11">
        <v>130727</v>
      </c>
      <c r="AI45" s="11">
        <v>157443</v>
      </c>
      <c r="AJ45" s="11">
        <v>244322</v>
      </c>
      <c r="AK45" s="11">
        <v>15216</v>
      </c>
      <c r="AL45" s="12">
        <v>9465</v>
      </c>
    </row>
    <row r="46" spans="1:38" x14ac:dyDescent="0.25">
      <c r="A46" s="2">
        <v>45</v>
      </c>
      <c r="B46" s="3" t="s">
        <v>123</v>
      </c>
      <c r="C46" s="2" t="s">
        <v>124</v>
      </c>
      <c r="D46" s="13">
        <f>_xlfn.XLOOKUP(Table1[[#This Row],[Country / Territory]],[1]!Table9[Country],[1]!Table9[Total Pop],"None",0)</f>
        <v>603666063</v>
      </c>
      <c r="E46" s="13">
        <f>_xlfn.XLOOKUP(Table1[[#This Row],[Country / Territory]],[1]!Table9[Country],[1]!Table9[Total F],"None",0)</f>
        <v>306222052</v>
      </c>
      <c r="F46" s="13">
        <f>_xlfn.XLOOKUP(Table1[[#This Row],[Country / Territory]],[1]!Table9[Country],[1]!Table9[Total M],"None",0)</f>
        <v>297444011</v>
      </c>
      <c r="G46" s="9">
        <v>5366718</v>
      </c>
      <c r="H46" s="9">
        <v>110893</v>
      </c>
      <c r="I46" s="9">
        <v>17704</v>
      </c>
      <c r="J46" s="9">
        <v>4486</v>
      </c>
      <c r="K46" s="9">
        <v>235181</v>
      </c>
      <c r="L46" s="9">
        <v>317069</v>
      </c>
      <c r="M46" s="9">
        <v>34337</v>
      </c>
      <c r="N46" s="9">
        <v>20795</v>
      </c>
      <c r="O46" s="9">
        <v>61545</v>
      </c>
      <c r="P46" s="9">
        <v>244358</v>
      </c>
      <c r="Q46" s="9">
        <v>1190</v>
      </c>
      <c r="R46" s="9">
        <v>473636</v>
      </c>
      <c r="S46" s="9">
        <v>525047</v>
      </c>
      <c r="T46" s="9">
        <v>564508</v>
      </c>
      <c r="U46" s="9">
        <v>554921</v>
      </c>
      <c r="V46" s="9">
        <v>4289</v>
      </c>
      <c r="W46" s="9">
        <v>40895</v>
      </c>
      <c r="X46" s="9">
        <v>742</v>
      </c>
      <c r="Y46" s="9">
        <v>810148</v>
      </c>
      <c r="Z46" s="9">
        <v>3520</v>
      </c>
      <c r="AA46" s="9">
        <v>237225</v>
      </c>
      <c r="AB46" s="9">
        <v>54203</v>
      </c>
      <c r="AC46" s="9">
        <v>73366</v>
      </c>
      <c r="AD46" s="9">
        <v>49080</v>
      </c>
      <c r="AE46" s="9">
        <v>14022</v>
      </c>
      <c r="AF46" s="9">
        <v>229863</v>
      </c>
      <c r="AG46" s="9">
        <v>241350</v>
      </c>
      <c r="AH46" s="9">
        <v>101847</v>
      </c>
      <c r="AI46" s="9">
        <v>119381</v>
      </c>
      <c r="AJ46" s="9">
        <v>190974</v>
      </c>
      <c r="AK46" s="9">
        <v>15712</v>
      </c>
      <c r="AL46" s="10">
        <v>14431</v>
      </c>
    </row>
    <row r="47" spans="1:38" x14ac:dyDescent="0.25">
      <c r="A47" s="4">
        <v>46</v>
      </c>
      <c r="B47" s="5" t="s">
        <v>125</v>
      </c>
      <c r="C47" s="4" t="s">
        <v>126</v>
      </c>
      <c r="D47" s="13">
        <f>_xlfn.XLOOKUP(Table1[[#This Row],[Country / Territory]],[1]!Table9[Country],[1]!Table9[Total Pop],"None",0)</f>
        <v>757322666</v>
      </c>
      <c r="E47" s="13">
        <f>_xlfn.XLOOKUP(Table1[[#This Row],[Country / Territory]],[1]!Table9[Country],[1]!Table9[Total F],"None",0)</f>
        <v>382311815</v>
      </c>
      <c r="F47" s="13">
        <f>_xlfn.XLOOKUP(Table1[[#This Row],[Country / Territory]],[1]!Table9[Country],[1]!Table9[Total M],"None",0)</f>
        <v>375010851</v>
      </c>
      <c r="G47" s="11">
        <v>5159447</v>
      </c>
      <c r="H47" s="11">
        <v>37391</v>
      </c>
      <c r="I47" s="11">
        <v>41405</v>
      </c>
      <c r="J47" s="11">
        <v>13742</v>
      </c>
      <c r="K47" s="11">
        <v>108221</v>
      </c>
      <c r="L47" s="11">
        <v>1643</v>
      </c>
      <c r="M47" s="11">
        <v>62520</v>
      </c>
      <c r="N47" s="11">
        <v>13560</v>
      </c>
      <c r="O47" s="11">
        <v>80001</v>
      </c>
      <c r="P47" s="11">
        <v>34487</v>
      </c>
      <c r="Q47" s="11">
        <v>658</v>
      </c>
      <c r="R47" s="11">
        <v>301406</v>
      </c>
      <c r="S47" s="11">
        <v>913752</v>
      </c>
      <c r="T47" s="11">
        <v>502770</v>
      </c>
      <c r="U47" s="11">
        <v>519032</v>
      </c>
      <c r="V47" s="11">
        <v>5022</v>
      </c>
      <c r="W47" s="11">
        <v>88624</v>
      </c>
      <c r="X47" s="11">
        <v>15571</v>
      </c>
      <c r="Y47" s="11">
        <v>355418</v>
      </c>
      <c r="Z47" s="11">
        <v>6599</v>
      </c>
      <c r="AA47" s="11">
        <v>406878</v>
      </c>
      <c r="AB47" s="11">
        <v>14447</v>
      </c>
      <c r="AC47" s="11">
        <v>54405</v>
      </c>
      <c r="AD47" s="11">
        <v>85814</v>
      </c>
      <c r="AE47" s="11">
        <v>17920</v>
      </c>
      <c r="AF47" s="11">
        <v>95262</v>
      </c>
      <c r="AG47" s="11">
        <v>66812</v>
      </c>
      <c r="AH47" s="11">
        <v>822694</v>
      </c>
      <c r="AI47" s="11">
        <v>188003</v>
      </c>
      <c r="AJ47" s="11">
        <v>273247</v>
      </c>
      <c r="AK47" s="11">
        <v>5157</v>
      </c>
      <c r="AL47" s="12">
        <v>26986</v>
      </c>
    </row>
    <row r="48" spans="1:38" x14ac:dyDescent="0.25">
      <c r="A48" s="2">
        <v>47</v>
      </c>
      <c r="B48" s="3" t="s">
        <v>127</v>
      </c>
      <c r="C48" s="2" t="s">
        <v>128</v>
      </c>
      <c r="D48" s="13">
        <f>_xlfn.XLOOKUP(Table1[[#This Row],[Country / Territory]],[1]!Table9[Country],[1]!Table9[Total Pop],"None",0)</f>
        <v>522894100</v>
      </c>
      <c r="E48" s="13">
        <f>_xlfn.XLOOKUP(Table1[[#This Row],[Country / Territory]],[1]!Table9[Country],[1]!Table9[Total F],"None",0)</f>
        <v>262847127</v>
      </c>
      <c r="F48" s="13">
        <f>_xlfn.XLOOKUP(Table1[[#This Row],[Country / Territory]],[1]!Table9[Country],[1]!Table9[Total M],"None",0)</f>
        <v>260046973</v>
      </c>
      <c r="G48" s="9">
        <v>5155974</v>
      </c>
      <c r="H48" s="9">
        <v>96161</v>
      </c>
      <c r="I48" s="9">
        <v>26747</v>
      </c>
      <c r="J48" s="9">
        <v>9292</v>
      </c>
      <c r="K48" s="9">
        <v>42368</v>
      </c>
      <c r="L48" s="9">
        <v>614095</v>
      </c>
      <c r="M48" s="9">
        <v>16677</v>
      </c>
      <c r="N48" s="9">
        <v>18472</v>
      </c>
      <c r="O48" s="9">
        <v>82600</v>
      </c>
      <c r="P48" s="9">
        <v>743352</v>
      </c>
      <c r="Q48" s="9">
        <v>1280</v>
      </c>
      <c r="R48" s="9">
        <v>202990</v>
      </c>
      <c r="S48" s="9">
        <v>546358</v>
      </c>
      <c r="T48" s="9">
        <v>482863</v>
      </c>
      <c r="U48" s="9">
        <v>446827</v>
      </c>
      <c r="V48" s="9">
        <v>3772</v>
      </c>
      <c r="W48" s="9">
        <v>44504</v>
      </c>
      <c r="X48" s="9">
        <v>192</v>
      </c>
      <c r="Y48" s="9">
        <v>718882</v>
      </c>
      <c r="Z48" s="9">
        <v>3131</v>
      </c>
      <c r="AA48" s="9">
        <v>263938</v>
      </c>
      <c r="AB48" s="9">
        <v>7133</v>
      </c>
      <c r="AC48" s="9">
        <v>97869</v>
      </c>
      <c r="AD48" s="9">
        <v>97328</v>
      </c>
      <c r="AE48" s="9">
        <v>9994</v>
      </c>
      <c r="AF48" s="9">
        <v>40188</v>
      </c>
      <c r="AG48" s="9">
        <v>139475</v>
      </c>
      <c r="AH48" s="9">
        <v>101447</v>
      </c>
      <c r="AI48" s="9">
        <v>99702</v>
      </c>
      <c r="AJ48" s="9">
        <v>168672</v>
      </c>
      <c r="AK48" s="9">
        <v>13303</v>
      </c>
      <c r="AL48" s="10">
        <v>16362</v>
      </c>
    </row>
    <row r="49" spans="1:38" x14ac:dyDescent="0.25">
      <c r="A49" s="4">
        <v>48</v>
      </c>
      <c r="B49" s="5" t="s">
        <v>129</v>
      </c>
      <c r="C49" s="4" t="s">
        <v>130</v>
      </c>
      <c r="D49" s="13">
        <f>_xlfn.XLOOKUP(Table1[[#This Row],[Country / Territory]],[1]!Table9[Country],[1]!Table9[Total Pop],"None",0)</f>
        <v>419071864</v>
      </c>
      <c r="E49" s="13">
        <f>_xlfn.XLOOKUP(Table1[[#This Row],[Country / Territory]],[1]!Table9[Country],[1]!Table9[Total F],"None",0)</f>
        <v>207817332</v>
      </c>
      <c r="F49" s="13">
        <f>_xlfn.XLOOKUP(Table1[[#This Row],[Country / Territory]],[1]!Table9[Country],[1]!Table9[Total M],"None",0)</f>
        <v>211254532</v>
      </c>
      <c r="G49" s="11">
        <v>4932833</v>
      </c>
      <c r="H49" s="11">
        <v>189707</v>
      </c>
      <c r="I49" s="11">
        <v>23893</v>
      </c>
      <c r="J49" s="11">
        <v>6495</v>
      </c>
      <c r="K49" s="11">
        <v>304544</v>
      </c>
      <c r="L49" s="11">
        <v>711087</v>
      </c>
      <c r="M49" s="11">
        <v>24627</v>
      </c>
      <c r="N49" s="11">
        <v>37790</v>
      </c>
      <c r="O49" s="11">
        <v>80995</v>
      </c>
      <c r="P49" s="11">
        <v>137382</v>
      </c>
      <c r="Q49" s="11">
        <v>319</v>
      </c>
      <c r="R49" s="11">
        <v>174546</v>
      </c>
      <c r="S49" s="11">
        <v>423975</v>
      </c>
      <c r="T49" s="11">
        <v>387730</v>
      </c>
      <c r="U49" s="11">
        <v>747229</v>
      </c>
      <c r="V49" s="11">
        <v>2066</v>
      </c>
      <c r="W49" s="11">
        <v>19059</v>
      </c>
      <c r="X49" s="11">
        <v>124</v>
      </c>
      <c r="Y49" s="11">
        <v>579172</v>
      </c>
      <c r="Z49" s="11">
        <v>3140</v>
      </c>
      <c r="AA49" s="11">
        <v>191446</v>
      </c>
      <c r="AB49" s="11">
        <v>32775</v>
      </c>
      <c r="AC49" s="11">
        <v>55390</v>
      </c>
      <c r="AD49" s="11">
        <v>56761</v>
      </c>
      <c r="AE49" s="11">
        <v>13283</v>
      </c>
      <c r="AF49" s="11">
        <v>297954</v>
      </c>
      <c r="AG49" s="11">
        <v>61404</v>
      </c>
      <c r="AH49" s="11">
        <v>103596</v>
      </c>
      <c r="AI49" s="11">
        <v>85878</v>
      </c>
      <c r="AJ49" s="11">
        <v>148239</v>
      </c>
      <c r="AK49" s="11">
        <v>17049</v>
      </c>
      <c r="AL49" s="12">
        <v>15178</v>
      </c>
    </row>
    <row r="50" spans="1:38" x14ac:dyDescent="0.25">
      <c r="A50" s="2">
        <v>49</v>
      </c>
      <c r="B50" s="3" t="s">
        <v>131</v>
      </c>
      <c r="C50" s="2" t="s">
        <v>132</v>
      </c>
      <c r="D50" s="13">
        <f>_xlfn.XLOOKUP(Table1[[#This Row],[Country / Territory]],[1]!Table9[Country],[1]!Table9[Total Pop],"None",0)</f>
        <v>428622244</v>
      </c>
      <c r="E50" s="13">
        <f>_xlfn.XLOOKUP(Table1[[#This Row],[Country / Territory]],[1]!Table9[Country],[1]!Table9[Total F],"None",0)</f>
        <v>211782702</v>
      </c>
      <c r="F50" s="13">
        <f>_xlfn.XLOOKUP(Table1[[#This Row],[Country / Territory]],[1]!Table9[Country],[1]!Table9[Total M],"None",0)</f>
        <v>216839542</v>
      </c>
      <c r="G50" s="9">
        <v>4891553</v>
      </c>
      <c r="H50" s="9">
        <v>314819</v>
      </c>
      <c r="I50" s="9">
        <v>14695</v>
      </c>
      <c r="J50" s="9">
        <v>4065</v>
      </c>
      <c r="K50" s="9">
        <v>123982</v>
      </c>
      <c r="L50" s="9">
        <v>693962</v>
      </c>
      <c r="M50" s="9">
        <v>25082</v>
      </c>
      <c r="N50" s="9">
        <v>36765</v>
      </c>
      <c r="O50" s="9">
        <v>78160</v>
      </c>
      <c r="P50" s="9">
        <v>69439</v>
      </c>
      <c r="Q50" s="9">
        <v>242</v>
      </c>
      <c r="R50" s="9">
        <v>173078</v>
      </c>
      <c r="S50" s="9">
        <v>329937</v>
      </c>
      <c r="T50" s="9">
        <v>742507</v>
      </c>
      <c r="U50" s="9">
        <v>525214</v>
      </c>
      <c r="V50" s="9">
        <v>2000</v>
      </c>
      <c r="W50" s="9">
        <v>18126</v>
      </c>
      <c r="X50" s="9">
        <v>488</v>
      </c>
      <c r="Y50" s="9">
        <v>1021934</v>
      </c>
      <c r="Z50" s="9">
        <v>2986</v>
      </c>
      <c r="AA50" s="9">
        <v>125297</v>
      </c>
      <c r="AB50" s="9">
        <v>3353</v>
      </c>
      <c r="AC50" s="9">
        <v>37512</v>
      </c>
      <c r="AD50" s="9">
        <v>44573</v>
      </c>
      <c r="AE50" s="9">
        <v>12042</v>
      </c>
      <c r="AF50" s="9">
        <v>121040</v>
      </c>
      <c r="AG50" s="9">
        <v>61895</v>
      </c>
      <c r="AH50" s="9">
        <v>74913</v>
      </c>
      <c r="AI50" s="9">
        <v>71448</v>
      </c>
      <c r="AJ50" s="9">
        <v>134701</v>
      </c>
      <c r="AK50" s="9">
        <v>17060</v>
      </c>
      <c r="AL50" s="10">
        <v>10238</v>
      </c>
    </row>
    <row r="51" spans="1:38" x14ac:dyDescent="0.25">
      <c r="A51" s="4">
        <v>50</v>
      </c>
      <c r="B51" s="5" t="s">
        <v>133</v>
      </c>
      <c r="C51" s="4" t="s">
        <v>134</v>
      </c>
      <c r="D51" s="13">
        <f>_xlfn.XLOOKUP(Table1[[#This Row],[Country / Territory]],[1]!Table9[Country],[1]!Table9[Total Pop],"None",0)</f>
        <v>425888611</v>
      </c>
      <c r="E51" s="13">
        <f>_xlfn.XLOOKUP(Table1[[#This Row],[Country / Territory]],[1]!Table9[Country],[1]!Table9[Total F],"None",0)</f>
        <v>215106381</v>
      </c>
      <c r="F51" s="13">
        <f>_xlfn.XLOOKUP(Table1[[#This Row],[Country / Territory]],[1]!Table9[Country],[1]!Table9[Total M],"None",0)</f>
        <v>210782230</v>
      </c>
      <c r="G51" s="11">
        <v>4869268</v>
      </c>
      <c r="H51" s="11">
        <v>175973</v>
      </c>
      <c r="I51" s="11">
        <v>25070</v>
      </c>
      <c r="J51" s="11">
        <v>6915</v>
      </c>
      <c r="K51" s="11">
        <v>140980</v>
      </c>
      <c r="L51" s="11">
        <v>950762</v>
      </c>
      <c r="M51" s="11">
        <v>19688</v>
      </c>
      <c r="N51" s="11">
        <v>37008</v>
      </c>
      <c r="O51" s="11">
        <v>46191</v>
      </c>
      <c r="P51" s="11">
        <v>333448</v>
      </c>
      <c r="Q51" s="11">
        <v>870</v>
      </c>
      <c r="R51" s="11">
        <v>178470</v>
      </c>
      <c r="S51" s="11">
        <v>441449</v>
      </c>
      <c r="T51" s="11">
        <v>613248</v>
      </c>
      <c r="U51" s="11">
        <v>451659</v>
      </c>
      <c r="V51" s="11">
        <v>2993</v>
      </c>
      <c r="W51" s="11">
        <v>30023</v>
      </c>
      <c r="X51" s="11">
        <v>156</v>
      </c>
      <c r="Y51" s="11">
        <v>553691</v>
      </c>
      <c r="Z51" s="11">
        <v>2958</v>
      </c>
      <c r="AA51" s="11">
        <v>187817</v>
      </c>
      <c r="AB51" s="11">
        <v>1383</v>
      </c>
      <c r="AC51" s="11">
        <v>58916</v>
      </c>
      <c r="AD51" s="11">
        <v>55275</v>
      </c>
      <c r="AE51" s="11">
        <v>13499</v>
      </c>
      <c r="AF51" s="11">
        <v>135194</v>
      </c>
      <c r="AG51" s="11">
        <v>102398</v>
      </c>
      <c r="AH51" s="11">
        <v>60148</v>
      </c>
      <c r="AI51" s="11">
        <v>77027</v>
      </c>
      <c r="AJ51" s="11">
        <v>142102</v>
      </c>
      <c r="AK51" s="11">
        <v>15183</v>
      </c>
      <c r="AL51" s="12">
        <v>8774</v>
      </c>
    </row>
    <row r="52" spans="1:38" x14ac:dyDescent="0.25">
      <c r="A52" s="2">
        <v>51</v>
      </c>
      <c r="B52" s="3" t="s">
        <v>135</v>
      </c>
      <c r="C52" s="2" t="s">
        <v>136</v>
      </c>
      <c r="D52" s="13">
        <f>_xlfn.XLOOKUP(Table1[[#This Row],[Country / Territory]],[1]!Table9[Country],[1]!Table9[Total Pop],"None",0)</f>
        <v>399159457</v>
      </c>
      <c r="E52" s="13">
        <f>_xlfn.XLOOKUP(Table1[[#This Row],[Country / Territory]],[1]!Table9[Country],[1]!Table9[Total F],"None",0)</f>
        <v>205151544</v>
      </c>
      <c r="F52" s="13">
        <f>_xlfn.XLOOKUP(Table1[[#This Row],[Country / Territory]],[1]!Table9[Country],[1]!Table9[Total M],"None",0)</f>
        <v>194007913</v>
      </c>
      <c r="G52" s="9">
        <v>4681530</v>
      </c>
      <c r="H52" s="9">
        <v>107433</v>
      </c>
      <c r="I52" s="9">
        <v>19156</v>
      </c>
      <c r="J52" s="9">
        <v>4515</v>
      </c>
      <c r="K52" s="9">
        <v>113304</v>
      </c>
      <c r="L52" s="9">
        <v>404288</v>
      </c>
      <c r="M52" s="9">
        <v>14016</v>
      </c>
      <c r="N52" s="9">
        <v>9142</v>
      </c>
      <c r="O52" s="9">
        <v>39029</v>
      </c>
      <c r="P52" s="9">
        <v>1265348</v>
      </c>
      <c r="Q52" s="9">
        <v>716</v>
      </c>
      <c r="R52" s="9">
        <v>274335</v>
      </c>
      <c r="S52" s="9">
        <v>371555</v>
      </c>
      <c r="T52" s="9">
        <v>380042</v>
      </c>
      <c r="U52" s="9">
        <v>393356</v>
      </c>
      <c r="V52" s="9">
        <v>2825</v>
      </c>
      <c r="W52" s="9">
        <v>28814</v>
      </c>
      <c r="X52" s="9">
        <v>953</v>
      </c>
      <c r="Y52" s="9">
        <v>413051</v>
      </c>
      <c r="Z52" s="9">
        <v>2442</v>
      </c>
      <c r="AA52" s="9">
        <v>226599</v>
      </c>
      <c r="AB52" s="9">
        <v>92</v>
      </c>
      <c r="AC52" s="9">
        <v>58163</v>
      </c>
      <c r="AD52" s="9">
        <v>41137</v>
      </c>
      <c r="AE52" s="9">
        <v>9509</v>
      </c>
      <c r="AF52" s="9">
        <v>109606</v>
      </c>
      <c r="AG52" s="9">
        <v>55753</v>
      </c>
      <c r="AH52" s="9">
        <v>62074</v>
      </c>
      <c r="AI52" s="9">
        <v>99983</v>
      </c>
      <c r="AJ52" s="9">
        <v>151852</v>
      </c>
      <c r="AK52" s="9">
        <v>10228</v>
      </c>
      <c r="AL52" s="10">
        <v>12214</v>
      </c>
    </row>
    <row r="53" spans="1:38" x14ac:dyDescent="0.25">
      <c r="A53" s="4">
        <v>52</v>
      </c>
      <c r="B53" s="5" t="s">
        <v>137</v>
      </c>
      <c r="C53" s="4" t="s">
        <v>138</v>
      </c>
      <c r="D53" s="13">
        <f>_xlfn.XLOOKUP(Table1[[#This Row],[Country / Territory]],[1]!Table9[Country],[1]!Table9[Total Pop],"None",0)</f>
        <v>1007503396</v>
      </c>
      <c r="E53" s="13">
        <f>_xlfn.XLOOKUP(Table1[[#This Row],[Country / Territory]],[1]!Table9[Country],[1]!Table9[Total F],"None",0)</f>
        <v>490127877</v>
      </c>
      <c r="F53" s="13">
        <f>_xlfn.XLOOKUP(Table1[[#This Row],[Country / Territory]],[1]!Table9[Country],[1]!Table9[Total M],"None",0)</f>
        <v>517375519</v>
      </c>
      <c r="G53" s="11">
        <v>4601205</v>
      </c>
      <c r="H53" s="11">
        <v>15685</v>
      </c>
      <c r="I53" s="11">
        <v>86914</v>
      </c>
      <c r="J53" s="11">
        <v>22943</v>
      </c>
      <c r="K53" s="11">
        <v>7138</v>
      </c>
      <c r="L53" s="11">
        <v>70</v>
      </c>
      <c r="M53" s="11">
        <v>24273</v>
      </c>
      <c r="N53" s="11">
        <v>16702</v>
      </c>
      <c r="O53" s="11">
        <v>29475</v>
      </c>
      <c r="P53" s="11">
        <v>6101</v>
      </c>
      <c r="Q53" s="11">
        <v>10612</v>
      </c>
      <c r="R53" s="11">
        <v>18089</v>
      </c>
      <c r="S53" s="11">
        <v>2123720</v>
      </c>
      <c r="T53" s="11">
        <v>179379</v>
      </c>
      <c r="U53" s="11">
        <v>395714</v>
      </c>
      <c r="V53" s="11">
        <v>2748</v>
      </c>
      <c r="W53" s="11">
        <v>44966</v>
      </c>
      <c r="X53" s="11">
        <v>4032</v>
      </c>
      <c r="Y53" s="11">
        <v>34410</v>
      </c>
      <c r="Z53" s="11">
        <v>1041</v>
      </c>
      <c r="AA53" s="11">
        <v>469379</v>
      </c>
      <c r="AB53" s="11">
        <v>30947</v>
      </c>
      <c r="AC53" s="11">
        <v>89035</v>
      </c>
      <c r="AD53" s="11">
        <v>154666</v>
      </c>
      <c r="AE53" s="11">
        <v>12337</v>
      </c>
      <c r="AF53" s="11">
        <v>6407</v>
      </c>
      <c r="AG53" s="11">
        <v>369395</v>
      </c>
      <c r="AH53" s="11">
        <v>168453</v>
      </c>
      <c r="AI53" s="11">
        <v>91927</v>
      </c>
      <c r="AJ53" s="11">
        <v>146527</v>
      </c>
      <c r="AK53" s="11">
        <v>27628</v>
      </c>
      <c r="AL53" s="12">
        <v>10492</v>
      </c>
    </row>
    <row r="54" spans="1:38" x14ac:dyDescent="0.25">
      <c r="A54" s="2">
        <v>53</v>
      </c>
      <c r="B54" s="3" t="s">
        <v>139</v>
      </c>
      <c r="C54" s="2" t="s">
        <v>140</v>
      </c>
      <c r="D54" s="13">
        <f>_xlfn.XLOOKUP(Table1[[#This Row],[Country / Territory]],[1]!Table9[Country],[1]!Table9[Total Pop],"None",0)</f>
        <v>505906984</v>
      </c>
      <c r="E54" s="13">
        <f>_xlfn.XLOOKUP(Table1[[#This Row],[Country / Territory]],[1]!Table9[Country],[1]!Table9[Total F],"None",0)</f>
        <v>264185068</v>
      </c>
      <c r="F54" s="13">
        <f>_xlfn.XLOOKUP(Table1[[#This Row],[Country / Territory]],[1]!Table9[Country],[1]!Table9[Total M],"None",0)</f>
        <v>241721916</v>
      </c>
      <c r="G54" s="9">
        <v>4526448</v>
      </c>
      <c r="H54" s="9">
        <v>8919</v>
      </c>
      <c r="I54" s="9">
        <v>55729</v>
      </c>
      <c r="J54" s="9">
        <v>16206</v>
      </c>
      <c r="K54" s="9">
        <v>3322</v>
      </c>
      <c r="L54" s="9">
        <v>0</v>
      </c>
      <c r="M54" s="9">
        <v>43544</v>
      </c>
      <c r="N54" s="9">
        <v>76206</v>
      </c>
      <c r="O54" s="9">
        <v>3633</v>
      </c>
      <c r="P54" s="9">
        <v>7614</v>
      </c>
      <c r="Q54" s="9">
        <v>15442</v>
      </c>
      <c r="R54" s="9">
        <v>85570</v>
      </c>
      <c r="S54" s="9">
        <v>2232449</v>
      </c>
      <c r="T54" s="9">
        <v>139520</v>
      </c>
      <c r="U54" s="9">
        <v>77170</v>
      </c>
      <c r="V54" s="9">
        <v>59494</v>
      </c>
      <c r="W54" s="9">
        <v>149638</v>
      </c>
      <c r="X54" s="9">
        <v>211</v>
      </c>
      <c r="Y54" s="9">
        <v>17170</v>
      </c>
      <c r="Z54" s="9">
        <v>37574</v>
      </c>
      <c r="AA54" s="9">
        <v>648639</v>
      </c>
      <c r="AB54" s="9">
        <v>416</v>
      </c>
      <c r="AC54" s="9">
        <v>49499</v>
      </c>
      <c r="AD54" s="9">
        <v>43437</v>
      </c>
      <c r="AE54" s="9">
        <v>20586</v>
      </c>
      <c r="AF54" s="9">
        <v>2187</v>
      </c>
      <c r="AG54" s="9">
        <v>103782</v>
      </c>
      <c r="AH54" s="9">
        <v>224600</v>
      </c>
      <c r="AI54" s="9">
        <v>152588</v>
      </c>
      <c r="AJ54" s="9">
        <v>228739</v>
      </c>
      <c r="AK54" s="9">
        <v>19527</v>
      </c>
      <c r="AL54" s="10">
        <v>3037</v>
      </c>
    </row>
    <row r="55" spans="1:38" x14ac:dyDescent="0.25">
      <c r="A55" s="4">
        <v>54</v>
      </c>
      <c r="B55" s="5" t="s">
        <v>141</v>
      </c>
      <c r="C55" s="4" t="s">
        <v>142</v>
      </c>
      <c r="D55" s="13">
        <f>_xlfn.XLOOKUP(Table1[[#This Row],[Country / Territory]],[1]!Table9[Country],[1]!Table9[Total Pop],"None",0)</f>
        <v>579960982</v>
      </c>
      <c r="E55" s="13">
        <f>_xlfn.XLOOKUP(Table1[[#This Row],[Country / Territory]],[1]!Table9[Country],[1]!Table9[Total F],"None",0)</f>
        <v>289040679</v>
      </c>
      <c r="F55" s="13">
        <f>_xlfn.XLOOKUP(Table1[[#This Row],[Country / Territory]],[1]!Table9[Country],[1]!Table9[Total M],"None",0)</f>
        <v>290920303</v>
      </c>
      <c r="G55" s="11">
        <v>4485733</v>
      </c>
      <c r="H55" s="11">
        <v>81655</v>
      </c>
      <c r="I55" s="11">
        <v>18593</v>
      </c>
      <c r="J55" s="11">
        <v>4612</v>
      </c>
      <c r="K55" s="11">
        <v>260158</v>
      </c>
      <c r="L55" s="11">
        <v>202088</v>
      </c>
      <c r="M55" s="11">
        <v>15133</v>
      </c>
      <c r="N55" s="11">
        <v>11761</v>
      </c>
      <c r="O55" s="11">
        <v>75125</v>
      </c>
      <c r="P55" s="11">
        <v>34991</v>
      </c>
      <c r="Q55" s="11">
        <v>849</v>
      </c>
      <c r="R55" s="11">
        <v>344136</v>
      </c>
      <c r="S55" s="11">
        <v>773591</v>
      </c>
      <c r="T55" s="11">
        <v>488612</v>
      </c>
      <c r="U55" s="11">
        <v>386736</v>
      </c>
      <c r="V55" s="11">
        <v>3324</v>
      </c>
      <c r="W55" s="11">
        <v>33836</v>
      </c>
      <c r="X55" s="11">
        <v>2072</v>
      </c>
      <c r="Y55" s="11">
        <v>640290</v>
      </c>
      <c r="Z55" s="11">
        <v>3720</v>
      </c>
      <c r="AA55" s="11">
        <v>230677</v>
      </c>
      <c r="AB55" s="11">
        <v>1343</v>
      </c>
      <c r="AC55" s="11">
        <v>59912</v>
      </c>
      <c r="AD55" s="11">
        <v>42875</v>
      </c>
      <c r="AE55" s="11">
        <v>10727</v>
      </c>
      <c r="AF55" s="11">
        <v>252909</v>
      </c>
      <c r="AG55" s="11">
        <v>72953</v>
      </c>
      <c r="AH55" s="11">
        <v>149271</v>
      </c>
      <c r="AI55" s="11">
        <v>105287</v>
      </c>
      <c r="AJ55" s="11">
        <v>159999</v>
      </c>
      <c r="AK55" s="11">
        <v>11569</v>
      </c>
      <c r="AL55" s="12">
        <v>6929</v>
      </c>
    </row>
    <row r="56" spans="1:38" x14ac:dyDescent="0.25">
      <c r="A56" s="2">
        <v>55</v>
      </c>
      <c r="B56" s="3" t="s">
        <v>143</v>
      </c>
      <c r="C56" s="2" t="s">
        <v>144</v>
      </c>
      <c r="D56" s="13">
        <f>_xlfn.XLOOKUP(Table1[[#This Row],[Country / Territory]],[1]!Table9[Country],[1]!Table9[Total Pop],"None",0)</f>
        <v>377543111</v>
      </c>
      <c r="E56" s="13">
        <f>_xlfn.XLOOKUP(Table1[[#This Row],[Country / Territory]],[1]!Table9[Country],[1]!Table9[Total F],"None",0)</f>
        <v>198141173</v>
      </c>
      <c r="F56" s="13">
        <f>_xlfn.XLOOKUP(Table1[[#This Row],[Country / Territory]],[1]!Table9[Country],[1]!Table9[Total M],"None",0)</f>
        <v>179401938</v>
      </c>
      <c r="G56" s="9">
        <v>4418584</v>
      </c>
      <c r="H56" s="9">
        <v>41238</v>
      </c>
      <c r="I56" s="9">
        <v>20017</v>
      </c>
      <c r="J56" s="9">
        <v>5764</v>
      </c>
      <c r="K56" s="9">
        <v>66723</v>
      </c>
      <c r="L56" s="9">
        <v>118728</v>
      </c>
      <c r="M56" s="9">
        <v>18169</v>
      </c>
      <c r="N56" s="9">
        <v>32741</v>
      </c>
      <c r="O56" s="9">
        <v>29802</v>
      </c>
      <c r="P56" s="9">
        <v>1836042</v>
      </c>
      <c r="Q56" s="9">
        <v>2271</v>
      </c>
      <c r="R56" s="9">
        <v>273844</v>
      </c>
      <c r="S56" s="9">
        <v>408352</v>
      </c>
      <c r="T56" s="9">
        <v>326145</v>
      </c>
      <c r="U56" s="9">
        <v>251875</v>
      </c>
      <c r="V56" s="9">
        <v>1246</v>
      </c>
      <c r="W56" s="9">
        <v>51763</v>
      </c>
      <c r="X56" s="9">
        <v>1247</v>
      </c>
      <c r="Y56" s="9">
        <v>140850</v>
      </c>
      <c r="Z56" s="9">
        <v>978</v>
      </c>
      <c r="AA56" s="9">
        <v>272787</v>
      </c>
      <c r="AB56" s="9">
        <v>625</v>
      </c>
      <c r="AC56" s="9">
        <v>71175</v>
      </c>
      <c r="AD56" s="9">
        <v>49952</v>
      </c>
      <c r="AE56" s="9">
        <v>9113</v>
      </c>
      <c r="AF56" s="9">
        <v>65942</v>
      </c>
      <c r="AG56" s="9">
        <v>67207</v>
      </c>
      <c r="AH56" s="9">
        <v>71774</v>
      </c>
      <c r="AI56" s="9">
        <v>55027</v>
      </c>
      <c r="AJ56" s="9">
        <v>108691</v>
      </c>
      <c r="AK56" s="9">
        <v>14718</v>
      </c>
      <c r="AL56" s="10">
        <v>3778</v>
      </c>
    </row>
    <row r="57" spans="1:38" x14ac:dyDescent="0.25">
      <c r="A57" s="4">
        <v>56</v>
      </c>
      <c r="B57" s="5" t="s">
        <v>145</v>
      </c>
      <c r="C57" s="4" t="s">
        <v>146</v>
      </c>
      <c r="D57" s="13">
        <f>_xlfn.XLOOKUP(Table1[[#This Row],[Country / Territory]],[1]!Table9[Country],[1]!Table9[Total Pop],"None",0)</f>
        <v>843987800</v>
      </c>
      <c r="E57" s="13">
        <f>_xlfn.XLOOKUP(Table1[[#This Row],[Country / Territory]],[1]!Table9[Country],[1]!Table9[Total F],"None",0)</f>
        <v>424134391</v>
      </c>
      <c r="F57" s="13">
        <f>_xlfn.XLOOKUP(Table1[[#This Row],[Country / Territory]],[1]!Table9[Country],[1]!Table9[Total M],"None",0)</f>
        <v>419853409</v>
      </c>
      <c r="G57" s="11">
        <v>4248735</v>
      </c>
      <c r="H57" s="11">
        <v>29604</v>
      </c>
      <c r="I57" s="11">
        <v>63014</v>
      </c>
      <c r="J57" s="11">
        <v>14484</v>
      </c>
      <c r="K57" s="11">
        <v>10598</v>
      </c>
      <c r="L57" s="11">
        <v>86</v>
      </c>
      <c r="M57" s="11">
        <v>33077</v>
      </c>
      <c r="N57" s="11">
        <v>90383</v>
      </c>
      <c r="O57" s="11">
        <v>18547</v>
      </c>
      <c r="P57" s="11">
        <v>1451</v>
      </c>
      <c r="Q57" s="11">
        <v>11566</v>
      </c>
      <c r="R57" s="11">
        <v>42775</v>
      </c>
      <c r="S57" s="11">
        <v>1655522</v>
      </c>
      <c r="T57" s="11">
        <v>175662</v>
      </c>
      <c r="U57" s="11">
        <v>454485</v>
      </c>
      <c r="V57" s="11">
        <v>1178</v>
      </c>
      <c r="W57" s="11">
        <v>43690</v>
      </c>
      <c r="X57" s="11">
        <v>169</v>
      </c>
      <c r="Y57" s="11">
        <v>70537</v>
      </c>
      <c r="Z57" s="11">
        <v>1041</v>
      </c>
      <c r="AA57" s="11">
        <v>421656</v>
      </c>
      <c r="AB57" s="11">
        <v>336980</v>
      </c>
      <c r="AC57" s="11">
        <v>173840</v>
      </c>
      <c r="AD57" s="11">
        <v>154225</v>
      </c>
      <c r="AE57" s="11">
        <v>4017</v>
      </c>
      <c r="AF57" s="11">
        <v>9766</v>
      </c>
      <c r="AG57" s="11">
        <v>160444</v>
      </c>
      <c r="AH57" s="11">
        <v>81596</v>
      </c>
      <c r="AI57" s="11">
        <v>62335</v>
      </c>
      <c r="AJ57" s="11">
        <v>88429</v>
      </c>
      <c r="AK57" s="11">
        <v>31626</v>
      </c>
      <c r="AL57" s="12">
        <v>5952</v>
      </c>
    </row>
    <row r="58" spans="1:38" x14ac:dyDescent="0.25">
      <c r="A58" s="2">
        <v>57</v>
      </c>
      <c r="B58" s="3" t="s">
        <v>147</v>
      </c>
      <c r="C58" s="2" t="s">
        <v>148</v>
      </c>
      <c r="D58" s="13">
        <f>_xlfn.XLOOKUP(Table1[[#This Row],[Country / Territory]],[1]!Table9[Country],[1]!Table9[Total Pop],"None",0)</f>
        <v>365235280</v>
      </c>
      <c r="E58" s="13">
        <f>_xlfn.XLOOKUP(Table1[[#This Row],[Country / Territory]],[1]!Table9[Country],[1]!Table9[Total F],"None",0)</f>
        <v>186518946</v>
      </c>
      <c r="F58" s="13">
        <f>_xlfn.XLOOKUP(Table1[[#This Row],[Country / Territory]],[1]!Table9[Country],[1]!Table9[Total M],"None",0)</f>
        <v>178716334</v>
      </c>
      <c r="G58" s="9">
        <v>4110709</v>
      </c>
      <c r="H58" s="9">
        <v>98886</v>
      </c>
      <c r="I58" s="9">
        <v>13473</v>
      </c>
      <c r="J58" s="9">
        <v>4054</v>
      </c>
      <c r="K58" s="9">
        <v>95913</v>
      </c>
      <c r="L58" s="9">
        <v>205529</v>
      </c>
      <c r="M58" s="9">
        <v>12809</v>
      </c>
      <c r="N58" s="9">
        <v>30065</v>
      </c>
      <c r="O58" s="9">
        <v>28395</v>
      </c>
      <c r="P58" s="9">
        <v>1175563</v>
      </c>
      <c r="Q58" s="9">
        <v>933</v>
      </c>
      <c r="R58" s="9">
        <v>275391</v>
      </c>
      <c r="S58" s="9">
        <v>360770</v>
      </c>
      <c r="T58" s="9">
        <v>345855</v>
      </c>
      <c r="U58" s="9">
        <v>300479</v>
      </c>
      <c r="V58" s="9">
        <v>2677</v>
      </c>
      <c r="W58" s="9">
        <v>29216</v>
      </c>
      <c r="X58" s="9">
        <v>73</v>
      </c>
      <c r="Y58" s="9">
        <v>348764</v>
      </c>
      <c r="Z58" s="9">
        <v>2451</v>
      </c>
      <c r="AA58" s="9">
        <v>198742</v>
      </c>
      <c r="AB58" s="9">
        <v>159</v>
      </c>
      <c r="AC58" s="9">
        <v>54098</v>
      </c>
      <c r="AD58" s="9">
        <v>41751</v>
      </c>
      <c r="AE58" s="9">
        <v>9056</v>
      </c>
      <c r="AF58" s="9">
        <v>92915</v>
      </c>
      <c r="AG58" s="9">
        <v>56976</v>
      </c>
      <c r="AH58" s="9">
        <v>59173</v>
      </c>
      <c r="AI58" s="9">
        <v>100581</v>
      </c>
      <c r="AJ58" s="9">
        <v>147640</v>
      </c>
      <c r="AK58" s="9">
        <v>9476</v>
      </c>
      <c r="AL58" s="10">
        <v>8846</v>
      </c>
    </row>
    <row r="59" spans="1:38" x14ac:dyDescent="0.25">
      <c r="A59" s="4">
        <v>58</v>
      </c>
      <c r="B59" s="5" t="s">
        <v>149</v>
      </c>
      <c r="C59" s="4" t="s">
        <v>150</v>
      </c>
      <c r="D59" s="13">
        <f>_xlfn.XLOOKUP(Table1[[#This Row],[Country / Territory]],[1]!Table9[Country],[1]!Table9[Total Pop],"None",0)</f>
        <v>0</v>
      </c>
      <c r="E59" s="13">
        <f>_xlfn.XLOOKUP(Table1[[#This Row],[Country / Territory]],[1]!Table9[Country],[1]!Table9[Total F],"None",0)</f>
        <v>0</v>
      </c>
      <c r="F59" s="13">
        <f>_xlfn.XLOOKUP(Table1[[#This Row],[Country / Territory]],[1]!Table9[Country],[1]!Table9[Total M],"None",0)</f>
        <v>0</v>
      </c>
      <c r="G59" s="11">
        <v>4105623</v>
      </c>
      <c r="H59" s="11">
        <v>4647</v>
      </c>
      <c r="I59" s="11">
        <v>136808</v>
      </c>
      <c r="J59" s="11">
        <v>36187</v>
      </c>
      <c r="K59" s="11">
        <v>4225</v>
      </c>
      <c r="L59" s="11">
        <v>0</v>
      </c>
      <c r="M59" s="11">
        <v>26404</v>
      </c>
      <c r="N59" s="11">
        <v>17345</v>
      </c>
      <c r="O59" s="11">
        <v>856</v>
      </c>
      <c r="P59" s="11">
        <v>3399</v>
      </c>
      <c r="Q59" s="11">
        <v>8816</v>
      </c>
      <c r="R59" s="11">
        <v>43535</v>
      </c>
      <c r="S59" s="11">
        <v>981658</v>
      </c>
      <c r="T59" s="11">
        <v>224208</v>
      </c>
      <c r="U59" s="11">
        <v>16447</v>
      </c>
      <c r="V59" s="11">
        <v>7659</v>
      </c>
      <c r="W59" s="11">
        <v>109715</v>
      </c>
      <c r="X59" s="11">
        <v>3693</v>
      </c>
      <c r="Y59" s="11">
        <v>2137</v>
      </c>
      <c r="Z59" s="11">
        <v>570</v>
      </c>
      <c r="AA59" s="11">
        <v>1148629</v>
      </c>
      <c r="AB59" s="11">
        <v>36</v>
      </c>
      <c r="AC59" s="11">
        <v>266537</v>
      </c>
      <c r="AD59" s="11">
        <v>155474</v>
      </c>
      <c r="AE59" s="11">
        <v>6938</v>
      </c>
      <c r="AF59" s="11">
        <v>3969</v>
      </c>
      <c r="AG59" s="11">
        <v>160502</v>
      </c>
      <c r="AH59" s="11">
        <v>217564</v>
      </c>
      <c r="AI59" s="11">
        <v>201363</v>
      </c>
      <c r="AJ59" s="11">
        <v>309002</v>
      </c>
      <c r="AK59" s="11">
        <v>7032</v>
      </c>
      <c r="AL59" s="12">
        <v>268</v>
      </c>
    </row>
    <row r="60" spans="1:38" x14ac:dyDescent="0.25">
      <c r="A60" s="2">
        <v>59</v>
      </c>
      <c r="B60" s="3" t="s">
        <v>151</v>
      </c>
      <c r="C60" s="2" t="s">
        <v>152</v>
      </c>
      <c r="D60" s="13">
        <f>_xlfn.XLOOKUP(Table1[[#This Row],[Country / Territory]],[1]!Table9[Country],[1]!Table9[Total Pop],"None",0)</f>
        <v>698217149</v>
      </c>
      <c r="E60" s="13">
        <f>_xlfn.XLOOKUP(Table1[[#This Row],[Country / Territory]],[1]!Table9[Country],[1]!Table9[Total F],"None",0)</f>
        <v>345248636</v>
      </c>
      <c r="F60" s="13">
        <f>_xlfn.XLOOKUP(Table1[[#This Row],[Country / Territory]],[1]!Table9[Country],[1]!Table9[Total M],"None",0)</f>
        <v>352968513</v>
      </c>
      <c r="G60" s="9">
        <v>4088624</v>
      </c>
      <c r="H60" s="9">
        <v>21095</v>
      </c>
      <c r="I60" s="9">
        <v>31045</v>
      </c>
      <c r="J60" s="9">
        <v>7188</v>
      </c>
      <c r="K60" s="9">
        <v>68939</v>
      </c>
      <c r="L60" s="9">
        <v>143463</v>
      </c>
      <c r="M60" s="9">
        <v>27994</v>
      </c>
      <c r="N60" s="9">
        <v>17918</v>
      </c>
      <c r="O60" s="9">
        <v>53611</v>
      </c>
      <c r="P60" s="9">
        <v>6276</v>
      </c>
      <c r="Q60" s="9">
        <v>3718</v>
      </c>
      <c r="R60" s="9">
        <v>32460</v>
      </c>
      <c r="S60" s="9">
        <v>1110837</v>
      </c>
      <c r="T60" s="9">
        <v>259044</v>
      </c>
      <c r="U60" s="9">
        <v>729558</v>
      </c>
      <c r="V60" s="9">
        <v>1590</v>
      </c>
      <c r="W60" s="9">
        <v>29882</v>
      </c>
      <c r="X60" s="9">
        <v>1131</v>
      </c>
      <c r="Y60" s="9">
        <v>419051</v>
      </c>
      <c r="Z60" s="9">
        <v>1049</v>
      </c>
      <c r="AA60" s="9">
        <v>234015</v>
      </c>
      <c r="AB60" s="9">
        <v>95610</v>
      </c>
      <c r="AC60" s="9">
        <v>30812</v>
      </c>
      <c r="AD60" s="9">
        <v>52119</v>
      </c>
      <c r="AE60" s="9">
        <v>12561</v>
      </c>
      <c r="AF60" s="9">
        <v>66731</v>
      </c>
      <c r="AG60" s="9">
        <v>278327</v>
      </c>
      <c r="AH60" s="9">
        <v>126525</v>
      </c>
      <c r="AI60" s="9">
        <v>64136</v>
      </c>
      <c r="AJ60" s="9">
        <v>111536</v>
      </c>
      <c r="AK60" s="9">
        <v>23871</v>
      </c>
      <c r="AL60" s="10">
        <v>26532</v>
      </c>
    </row>
    <row r="61" spans="1:38" x14ac:dyDescent="0.25">
      <c r="A61" s="4">
        <v>60</v>
      </c>
      <c r="B61" s="5" t="s">
        <v>153</v>
      </c>
      <c r="C61" s="4" t="s">
        <v>154</v>
      </c>
      <c r="D61" s="13">
        <f>_xlfn.XLOOKUP(Table1[[#This Row],[Country / Territory]],[1]!Table9[Country],[1]!Table9[Total Pop],"None",0)</f>
        <v>315591998</v>
      </c>
      <c r="E61" s="13">
        <f>_xlfn.XLOOKUP(Table1[[#This Row],[Country / Territory]],[1]!Table9[Country],[1]!Table9[Total F],"None",0)</f>
        <v>157797723</v>
      </c>
      <c r="F61" s="13">
        <f>_xlfn.XLOOKUP(Table1[[#This Row],[Country / Territory]],[1]!Table9[Country],[1]!Table9[Total M],"None",0)</f>
        <v>157794275</v>
      </c>
      <c r="G61" s="11">
        <v>4042753</v>
      </c>
      <c r="H61" s="11">
        <v>104739</v>
      </c>
      <c r="I61" s="11">
        <v>8593</v>
      </c>
      <c r="J61" s="11">
        <v>2520</v>
      </c>
      <c r="K61" s="11">
        <v>255787</v>
      </c>
      <c r="L61" s="11">
        <v>120767</v>
      </c>
      <c r="M61" s="11">
        <v>19779</v>
      </c>
      <c r="N61" s="11">
        <v>54614</v>
      </c>
      <c r="O61" s="11">
        <v>68767</v>
      </c>
      <c r="P61" s="11">
        <v>83076</v>
      </c>
      <c r="Q61" s="11">
        <v>374</v>
      </c>
      <c r="R61" s="11">
        <v>468031</v>
      </c>
      <c r="S61" s="11">
        <v>366002</v>
      </c>
      <c r="T61" s="11">
        <v>546989</v>
      </c>
      <c r="U61" s="11">
        <v>439571</v>
      </c>
      <c r="V61" s="11">
        <v>2876</v>
      </c>
      <c r="W61" s="11">
        <v>26119</v>
      </c>
      <c r="X61" s="11">
        <v>3180</v>
      </c>
      <c r="Y61" s="11">
        <v>504287</v>
      </c>
      <c r="Z61" s="11">
        <v>5191</v>
      </c>
      <c r="AA61" s="11">
        <v>159580</v>
      </c>
      <c r="AB61" s="11">
        <v>51392</v>
      </c>
      <c r="AC61" s="11">
        <v>51124</v>
      </c>
      <c r="AD61" s="11">
        <v>36974</v>
      </c>
      <c r="AE61" s="11">
        <v>13080</v>
      </c>
      <c r="AF61" s="11">
        <v>250235</v>
      </c>
      <c r="AG61" s="11">
        <v>73067</v>
      </c>
      <c r="AH61" s="11">
        <v>84506</v>
      </c>
      <c r="AI61" s="11">
        <v>78108</v>
      </c>
      <c r="AJ61" s="11">
        <v>123721</v>
      </c>
      <c r="AK61" s="11">
        <v>13471</v>
      </c>
      <c r="AL61" s="12">
        <v>26233</v>
      </c>
    </row>
    <row r="62" spans="1:38" x14ac:dyDescent="0.25">
      <c r="A62" s="2">
        <v>61</v>
      </c>
      <c r="B62" s="3" t="s">
        <v>155</v>
      </c>
      <c r="C62" s="2" t="s">
        <v>156</v>
      </c>
      <c r="D62" s="13">
        <f>_xlfn.XLOOKUP(Table1[[#This Row],[Country / Territory]],[1]!Table9[Country],[1]!Table9[Total Pop],"None",0)</f>
        <v>302605240</v>
      </c>
      <c r="E62" s="13">
        <f>_xlfn.XLOOKUP(Table1[[#This Row],[Country / Territory]],[1]!Table9[Country],[1]!Table9[Total F],"None",0)</f>
        <v>158353766</v>
      </c>
      <c r="F62" s="13">
        <f>_xlfn.XLOOKUP(Table1[[#This Row],[Country / Territory]],[1]!Table9[Country],[1]!Table9[Total M],"None",0)</f>
        <v>144251474</v>
      </c>
      <c r="G62" s="9">
        <v>4025329</v>
      </c>
      <c r="H62" s="9">
        <v>2864</v>
      </c>
      <c r="I62" s="9">
        <v>102429</v>
      </c>
      <c r="J62" s="9">
        <v>22142</v>
      </c>
      <c r="K62" s="9">
        <v>797</v>
      </c>
      <c r="L62" s="9">
        <v>0</v>
      </c>
      <c r="M62" s="9">
        <v>6453</v>
      </c>
      <c r="N62" s="9">
        <v>7584</v>
      </c>
      <c r="O62" s="9">
        <v>363</v>
      </c>
      <c r="P62" s="9">
        <v>3572</v>
      </c>
      <c r="Q62" s="9">
        <v>1339</v>
      </c>
      <c r="R62" s="9">
        <v>6947</v>
      </c>
      <c r="S62" s="9">
        <v>1938728</v>
      </c>
      <c r="T62" s="9">
        <v>34060</v>
      </c>
      <c r="U62" s="9">
        <v>13123</v>
      </c>
      <c r="V62" s="9">
        <v>22920</v>
      </c>
      <c r="W62" s="9">
        <v>86210</v>
      </c>
      <c r="X62" s="9">
        <v>69</v>
      </c>
      <c r="Y62" s="9">
        <v>3589</v>
      </c>
      <c r="Z62" s="9">
        <v>7387</v>
      </c>
      <c r="AA62" s="9">
        <v>1036094</v>
      </c>
      <c r="AB62" s="9">
        <v>10</v>
      </c>
      <c r="AC62" s="9">
        <v>66143</v>
      </c>
      <c r="AD62" s="9">
        <v>35355</v>
      </c>
      <c r="AE62" s="9">
        <v>2333</v>
      </c>
      <c r="AF62" s="9">
        <v>316</v>
      </c>
      <c r="AG62" s="9">
        <v>42672</v>
      </c>
      <c r="AH62" s="9">
        <v>155490</v>
      </c>
      <c r="AI62" s="9">
        <v>165435</v>
      </c>
      <c r="AJ62" s="9">
        <v>254541</v>
      </c>
      <c r="AK62" s="9">
        <v>6239</v>
      </c>
      <c r="AL62" s="10">
        <v>125</v>
      </c>
    </row>
    <row r="63" spans="1:38" x14ac:dyDescent="0.25">
      <c r="A63" s="4">
        <v>62</v>
      </c>
      <c r="B63" s="5" t="s">
        <v>157</v>
      </c>
      <c r="C63" s="4" t="s">
        <v>158</v>
      </c>
      <c r="D63" s="13">
        <f>_xlfn.XLOOKUP(Table1[[#This Row],[Country / Territory]],[1]!Table9[Country],[1]!Table9[Total Pop],"None",0)</f>
        <v>486060381</v>
      </c>
      <c r="E63" s="13">
        <f>_xlfn.XLOOKUP(Table1[[#This Row],[Country / Territory]],[1]!Table9[Country],[1]!Table9[Total F],"None",0)</f>
        <v>245920745</v>
      </c>
      <c r="F63" s="13">
        <f>_xlfn.XLOOKUP(Table1[[#This Row],[Country / Territory]],[1]!Table9[Country],[1]!Table9[Total M],"None",0)</f>
        <v>240139636</v>
      </c>
      <c r="G63" s="11">
        <v>3929990</v>
      </c>
      <c r="H63" s="11">
        <v>3732</v>
      </c>
      <c r="I63" s="11">
        <v>191095</v>
      </c>
      <c r="J63" s="11">
        <v>42419</v>
      </c>
      <c r="K63" s="11">
        <v>6074</v>
      </c>
      <c r="L63" s="11">
        <v>0</v>
      </c>
      <c r="M63" s="11">
        <v>2954</v>
      </c>
      <c r="N63" s="11">
        <v>5840</v>
      </c>
      <c r="O63" s="11">
        <v>440</v>
      </c>
      <c r="P63" s="11">
        <v>5168</v>
      </c>
      <c r="Q63" s="11">
        <v>3665</v>
      </c>
      <c r="R63" s="11">
        <v>4343</v>
      </c>
      <c r="S63" s="11">
        <v>1334457</v>
      </c>
      <c r="T63" s="11">
        <v>189718</v>
      </c>
      <c r="U63" s="11">
        <v>13431</v>
      </c>
      <c r="V63" s="11">
        <v>9705</v>
      </c>
      <c r="W63" s="11">
        <v>57082</v>
      </c>
      <c r="X63" s="11">
        <v>43</v>
      </c>
      <c r="Y63" s="11">
        <v>7660</v>
      </c>
      <c r="Z63" s="11">
        <v>857</v>
      </c>
      <c r="AA63" s="11">
        <v>1338631</v>
      </c>
      <c r="AB63" s="11">
        <v>230</v>
      </c>
      <c r="AC63" s="11">
        <v>103768</v>
      </c>
      <c r="AD63" s="11">
        <v>76627</v>
      </c>
      <c r="AE63" s="11">
        <v>530</v>
      </c>
      <c r="AF63" s="11">
        <v>4422</v>
      </c>
      <c r="AG63" s="11">
        <v>34449</v>
      </c>
      <c r="AH63" s="11">
        <v>263005</v>
      </c>
      <c r="AI63" s="11">
        <v>51593</v>
      </c>
      <c r="AJ63" s="11">
        <v>174262</v>
      </c>
      <c r="AK63" s="11">
        <v>3627</v>
      </c>
      <c r="AL63" s="12">
        <v>163</v>
      </c>
    </row>
    <row r="64" spans="1:38" x14ac:dyDescent="0.25">
      <c r="A64" s="2">
        <v>63</v>
      </c>
      <c r="B64" s="3" t="s">
        <v>159</v>
      </c>
      <c r="C64" s="2" t="s">
        <v>160</v>
      </c>
      <c r="D64" s="13">
        <f>_xlfn.XLOOKUP(Table1[[#This Row],[Country / Territory]],[1]!Table9[Country],[1]!Table9[Total Pop],"None",0)</f>
        <v>617795693</v>
      </c>
      <c r="E64" s="13">
        <f>_xlfn.XLOOKUP(Table1[[#This Row],[Country / Territory]],[1]!Table9[Country],[1]!Table9[Total F],"None",0)</f>
        <v>310699192</v>
      </c>
      <c r="F64" s="13">
        <f>_xlfn.XLOOKUP(Table1[[#This Row],[Country / Territory]],[1]!Table9[Country],[1]!Table9[Total M],"None",0)</f>
        <v>307096501</v>
      </c>
      <c r="G64" s="9">
        <v>3889556</v>
      </c>
      <c r="H64" s="9">
        <v>1975</v>
      </c>
      <c r="I64" s="9">
        <v>210625</v>
      </c>
      <c r="J64" s="9">
        <v>48084</v>
      </c>
      <c r="K64" s="9">
        <v>3778</v>
      </c>
      <c r="L64" s="9">
        <v>0</v>
      </c>
      <c r="M64" s="9">
        <v>6818</v>
      </c>
      <c r="N64" s="9">
        <v>9659</v>
      </c>
      <c r="O64" s="9">
        <v>497</v>
      </c>
      <c r="P64" s="9">
        <v>6067</v>
      </c>
      <c r="Q64" s="9">
        <v>23866</v>
      </c>
      <c r="R64" s="9">
        <v>2554</v>
      </c>
      <c r="S64" s="9">
        <v>1441279</v>
      </c>
      <c r="T64" s="9">
        <v>87541</v>
      </c>
      <c r="U64" s="9">
        <v>19244</v>
      </c>
      <c r="V64" s="9">
        <v>13171</v>
      </c>
      <c r="W64" s="9">
        <v>78158</v>
      </c>
      <c r="X64" s="9">
        <v>259</v>
      </c>
      <c r="Y64" s="9">
        <v>3949</v>
      </c>
      <c r="Z64" s="9">
        <v>1272</v>
      </c>
      <c r="AA64" s="9">
        <v>1222858</v>
      </c>
      <c r="AB64" s="9">
        <v>55</v>
      </c>
      <c r="AC64" s="9">
        <v>100026</v>
      </c>
      <c r="AD64" s="9">
        <v>94106</v>
      </c>
      <c r="AE64" s="9">
        <v>1417</v>
      </c>
      <c r="AF64" s="9">
        <v>2899</v>
      </c>
      <c r="AG64" s="9">
        <v>57136</v>
      </c>
      <c r="AH64" s="9">
        <v>251004</v>
      </c>
      <c r="AI64" s="9">
        <v>50555</v>
      </c>
      <c r="AJ64" s="9">
        <v>146403</v>
      </c>
      <c r="AK64" s="9">
        <v>4013</v>
      </c>
      <c r="AL64" s="10">
        <v>288</v>
      </c>
    </row>
    <row r="65" spans="1:38" x14ac:dyDescent="0.25">
      <c r="A65" s="4">
        <v>64</v>
      </c>
      <c r="B65" s="5" t="s">
        <v>161</v>
      </c>
      <c r="C65" s="4" t="s">
        <v>162</v>
      </c>
      <c r="D65" s="13">
        <f>_xlfn.XLOOKUP(Table1[[#This Row],[Country / Territory]],[1]!Table9[Country],[1]!Table9[Total Pop],"None",0)</f>
        <v>293330397</v>
      </c>
      <c r="E65" s="13">
        <f>_xlfn.XLOOKUP(Table1[[#This Row],[Country / Territory]],[1]!Table9[Country],[1]!Table9[Total F],"None",0)</f>
        <v>156349158</v>
      </c>
      <c r="F65" s="13">
        <f>_xlfn.XLOOKUP(Table1[[#This Row],[Country / Territory]],[1]!Table9[Country],[1]!Table9[Total M],"None",0)</f>
        <v>136981239</v>
      </c>
      <c r="G65" s="11">
        <v>3856108</v>
      </c>
      <c r="H65" s="11">
        <v>2989</v>
      </c>
      <c r="I65" s="11">
        <v>83681</v>
      </c>
      <c r="J65" s="11">
        <v>16259</v>
      </c>
      <c r="K65" s="11">
        <v>1775</v>
      </c>
      <c r="L65" s="11">
        <v>0</v>
      </c>
      <c r="M65" s="11">
        <v>37908</v>
      </c>
      <c r="N65" s="11">
        <v>33747</v>
      </c>
      <c r="O65" s="11">
        <v>614</v>
      </c>
      <c r="P65" s="11">
        <v>7361</v>
      </c>
      <c r="Q65" s="11">
        <v>8320</v>
      </c>
      <c r="R65" s="11">
        <v>17232</v>
      </c>
      <c r="S65" s="11">
        <v>2310287</v>
      </c>
      <c r="T65" s="11">
        <v>40752</v>
      </c>
      <c r="U65" s="11">
        <v>12194</v>
      </c>
      <c r="V65" s="11">
        <v>77811</v>
      </c>
      <c r="W65" s="11">
        <v>100503</v>
      </c>
      <c r="X65" s="11">
        <v>43</v>
      </c>
      <c r="Y65" s="11">
        <v>814</v>
      </c>
      <c r="Z65" s="11">
        <v>27053</v>
      </c>
      <c r="AA65" s="11">
        <v>631190</v>
      </c>
      <c r="AB65" s="11">
        <v>104</v>
      </c>
      <c r="AC65" s="11">
        <v>17117</v>
      </c>
      <c r="AD65" s="11">
        <v>12560</v>
      </c>
      <c r="AE65" s="11">
        <v>17426</v>
      </c>
      <c r="AF65" s="11">
        <v>912</v>
      </c>
      <c r="AG65" s="11">
        <v>60793</v>
      </c>
      <c r="AH65" s="11">
        <v>131458</v>
      </c>
      <c r="AI65" s="11">
        <v>61628</v>
      </c>
      <c r="AJ65" s="11">
        <v>118136</v>
      </c>
      <c r="AK65" s="11">
        <v>24666</v>
      </c>
      <c r="AL65" s="12">
        <v>775</v>
      </c>
    </row>
    <row r="66" spans="1:38" x14ac:dyDescent="0.25">
      <c r="A66" s="2">
        <v>65</v>
      </c>
      <c r="B66" s="3" t="s">
        <v>163</v>
      </c>
      <c r="C66" s="2" t="s">
        <v>164</v>
      </c>
      <c r="D66" s="13">
        <f>_xlfn.XLOOKUP(Table1[[#This Row],[Country / Territory]],[1]!Table9[Country],[1]!Table9[Total Pop],"None",0)</f>
        <v>824824883</v>
      </c>
      <c r="E66" s="13">
        <f>_xlfn.XLOOKUP(Table1[[#This Row],[Country / Territory]],[1]!Table9[Country],[1]!Table9[Total F],"None",0)</f>
        <v>412408910</v>
      </c>
      <c r="F66" s="13">
        <f>_xlfn.XLOOKUP(Table1[[#This Row],[Country / Territory]],[1]!Table9[Country],[1]!Table9[Total M],"None",0)</f>
        <v>412415973</v>
      </c>
      <c r="G66" s="9">
        <v>3803706</v>
      </c>
      <c r="H66" s="9">
        <v>9205</v>
      </c>
      <c r="I66" s="9">
        <v>119043</v>
      </c>
      <c r="J66" s="9">
        <v>27585</v>
      </c>
      <c r="K66" s="9">
        <v>60855</v>
      </c>
      <c r="L66" s="9">
        <v>5267</v>
      </c>
      <c r="M66" s="9">
        <v>29588</v>
      </c>
      <c r="N66" s="9">
        <v>35797</v>
      </c>
      <c r="O66" s="9">
        <v>30220</v>
      </c>
      <c r="P66" s="9">
        <v>56394</v>
      </c>
      <c r="Q66" s="9">
        <v>4034</v>
      </c>
      <c r="R66" s="9">
        <v>118995</v>
      </c>
      <c r="S66" s="9">
        <v>681021</v>
      </c>
      <c r="T66" s="9">
        <v>508053</v>
      </c>
      <c r="U66" s="9">
        <v>221763</v>
      </c>
      <c r="V66" s="9">
        <v>10689</v>
      </c>
      <c r="W66" s="9">
        <v>26655</v>
      </c>
      <c r="X66" s="9">
        <v>3624</v>
      </c>
      <c r="Y66" s="9">
        <v>74514</v>
      </c>
      <c r="Z66" s="9">
        <v>4077</v>
      </c>
      <c r="AA66" s="9">
        <v>706096</v>
      </c>
      <c r="AB66" s="9">
        <v>9611</v>
      </c>
      <c r="AC66" s="9">
        <v>89295</v>
      </c>
      <c r="AD66" s="9">
        <v>158881</v>
      </c>
      <c r="AE66" s="9">
        <v>6631</v>
      </c>
      <c r="AF66" s="9">
        <v>56273</v>
      </c>
      <c r="AG66" s="9">
        <v>131011</v>
      </c>
      <c r="AH66" s="9">
        <v>148708</v>
      </c>
      <c r="AI66" s="9">
        <v>156657</v>
      </c>
      <c r="AJ66" s="9">
        <v>300421</v>
      </c>
      <c r="AK66" s="9">
        <v>10742</v>
      </c>
      <c r="AL66" s="10">
        <v>2001</v>
      </c>
    </row>
    <row r="67" spans="1:38" x14ac:dyDescent="0.25">
      <c r="A67" s="4">
        <v>66</v>
      </c>
      <c r="B67" s="5" t="s">
        <v>165</v>
      </c>
      <c r="C67" s="4" t="s">
        <v>166</v>
      </c>
      <c r="D67" s="13">
        <f>_xlfn.XLOOKUP(Table1[[#This Row],[Country / Territory]],[1]!Table9[Country],[1]!Table9[Total Pop],"None",0)</f>
        <v>231898841</v>
      </c>
      <c r="E67" s="13">
        <f>_xlfn.XLOOKUP(Table1[[#This Row],[Country / Territory]],[1]!Table9[Country],[1]!Table9[Total F],"None",0)</f>
        <v>118784998</v>
      </c>
      <c r="F67" s="13">
        <f>_xlfn.XLOOKUP(Table1[[#This Row],[Country / Territory]],[1]!Table9[Country],[1]!Table9[Total M],"None",0)</f>
        <v>113113843</v>
      </c>
      <c r="G67" s="11">
        <v>3714519</v>
      </c>
      <c r="H67" s="11">
        <v>2152</v>
      </c>
      <c r="I67" s="11">
        <v>69091</v>
      </c>
      <c r="J67" s="11">
        <v>24665</v>
      </c>
      <c r="K67" s="11">
        <v>315</v>
      </c>
      <c r="L67" s="11">
        <v>0</v>
      </c>
      <c r="M67" s="11">
        <v>7408</v>
      </c>
      <c r="N67" s="11">
        <v>9627</v>
      </c>
      <c r="O67" s="11">
        <v>565</v>
      </c>
      <c r="P67" s="11">
        <v>1830</v>
      </c>
      <c r="Q67" s="11">
        <v>1664</v>
      </c>
      <c r="R67" s="11">
        <v>7060</v>
      </c>
      <c r="S67" s="11">
        <v>2423467</v>
      </c>
      <c r="T67" s="11">
        <v>80506</v>
      </c>
      <c r="U67" s="11">
        <v>9562</v>
      </c>
      <c r="V67" s="11">
        <v>5238</v>
      </c>
      <c r="W67" s="11">
        <v>47203</v>
      </c>
      <c r="X67" s="11">
        <v>83</v>
      </c>
      <c r="Y67" s="11">
        <v>932</v>
      </c>
      <c r="Z67" s="11">
        <v>4375</v>
      </c>
      <c r="AA67" s="11">
        <v>555720</v>
      </c>
      <c r="AB67" s="11">
        <v>50</v>
      </c>
      <c r="AC67" s="11">
        <v>74257</v>
      </c>
      <c r="AD67" s="11">
        <v>44226</v>
      </c>
      <c r="AE67" s="11">
        <v>2897</v>
      </c>
      <c r="AF67" s="11">
        <v>129</v>
      </c>
      <c r="AG67" s="11">
        <v>33528</v>
      </c>
      <c r="AH67" s="11">
        <v>99884</v>
      </c>
      <c r="AI67" s="11">
        <v>77343</v>
      </c>
      <c r="AJ67" s="11">
        <v>125903</v>
      </c>
      <c r="AK67" s="11">
        <v>4586</v>
      </c>
      <c r="AL67" s="12">
        <v>253</v>
      </c>
    </row>
    <row r="68" spans="1:38" x14ac:dyDescent="0.25">
      <c r="A68" s="2">
        <v>67</v>
      </c>
      <c r="B68" s="3" t="s">
        <v>167</v>
      </c>
      <c r="C68" s="2" t="s">
        <v>168</v>
      </c>
      <c r="D68" s="13">
        <f>_xlfn.XLOOKUP(Table1[[#This Row],[Country / Territory]],[1]!Table9[Country],[1]!Table9[Total Pop],"None",0)</f>
        <v>783244921</v>
      </c>
      <c r="E68" s="13">
        <f>_xlfn.XLOOKUP(Table1[[#This Row],[Country / Territory]],[1]!Table9[Country],[1]!Table9[Total F],"None",0)</f>
        <v>392303875</v>
      </c>
      <c r="F68" s="13">
        <f>_xlfn.XLOOKUP(Table1[[#This Row],[Country / Territory]],[1]!Table9[Country],[1]!Table9[Total M],"None",0)</f>
        <v>390941046</v>
      </c>
      <c r="G68" s="9">
        <v>3697746</v>
      </c>
      <c r="H68" s="9">
        <v>11615</v>
      </c>
      <c r="I68" s="9">
        <v>108735</v>
      </c>
      <c r="J68" s="9">
        <v>18573</v>
      </c>
      <c r="K68" s="9">
        <v>22554</v>
      </c>
      <c r="L68" s="9">
        <v>3726</v>
      </c>
      <c r="M68" s="9">
        <v>20273</v>
      </c>
      <c r="N68" s="9">
        <v>266071</v>
      </c>
      <c r="O68" s="9">
        <v>12739</v>
      </c>
      <c r="P68" s="9">
        <v>46090</v>
      </c>
      <c r="Q68" s="9">
        <v>1664</v>
      </c>
      <c r="R68" s="9">
        <v>23568</v>
      </c>
      <c r="S68" s="9">
        <v>1158991</v>
      </c>
      <c r="T68" s="9">
        <v>124366</v>
      </c>
      <c r="U68" s="9">
        <v>154484</v>
      </c>
      <c r="V68" s="9">
        <v>5824</v>
      </c>
      <c r="W68" s="9">
        <v>57960</v>
      </c>
      <c r="X68" s="9">
        <v>31025</v>
      </c>
      <c r="Y68" s="9">
        <v>61658</v>
      </c>
      <c r="Z68" s="9">
        <v>268</v>
      </c>
      <c r="AA68" s="9">
        <v>641727</v>
      </c>
      <c r="AB68" s="9">
        <v>1047</v>
      </c>
      <c r="AC68" s="9">
        <v>175790</v>
      </c>
      <c r="AD68" s="9">
        <v>161667</v>
      </c>
      <c r="AE68" s="9">
        <v>2607</v>
      </c>
      <c r="AF68" s="9">
        <v>21347</v>
      </c>
      <c r="AG68" s="9">
        <v>175036</v>
      </c>
      <c r="AH68" s="9">
        <v>122198</v>
      </c>
      <c r="AI68" s="9">
        <v>91720</v>
      </c>
      <c r="AJ68" s="9">
        <v>168365</v>
      </c>
      <c r="AK68" s="9">
        <v>4949</v>
      </c>
      <c r="AL68" s="10">
        <v>1109</v>
      </c>
    </row>
    <row r="69" spans="1:38" x14ac:dyDescent="0.25">
      <c r="A69" s="4">
        <v>68</v>
      </c>
      <c r="B69" s="5" t="s">
        <v>169</v>
      </c>
      <c r="C69" s="4" t="s">
        <v>170</v>
      </c>
      <c r="D69" s="13">
        <f>_xlfn.XLOOKUP(Table1[[#This Row],[Country / Territory]],[1]!Table9[Country],[1]!Table9[Total Pop],"None",0)</f>
        <v>316118464</v>
      </c>
      <c r="E69" s="13">
        <f>_xlfn.XLOOKUP(Table1[[#This Row],[Country / Territory]],[1]!Table9[Country],[1]!Table9[Total F],"None",0)</f>
        <v>158561317</v>
      </c>
      <c r="F69" s="13">
        <f>_xlfn.XLOOKUP(Table1[[#This Row],[Country / Territory]],[1]!Table9[Country],[1]!Table9[Total M],"None",0)</f>
        <v>157557147</v>
      </c>
      <c r="G69" s="11">
        <v>3554423</v>
      </c>
      <c r="H69" s="11">
        <v>116529</v>
      </c>
      <c r="I69" s="11">
        <v>15577</v>
      </c>
      <c r="J69" s="11">
        <v>4519</v>
      </c>
      <c r="K69" s="11">
        <v>124953</v>
      </c>
      <c r="L69" s="11">
        <v>195599</v>
      </c>
      <c r="M69" s="11">
        <v>15683</v>
      </c>
      <c r="N69" s="11">
        <v>21365</v>
      </c>
      <c r="O69" s="11">
        <v>69912</v>
      </c>
      <c r="P69" s="11">
        <v>137491</v>
      </c>
      <c r="Q69" s="11">
        <v>247</v>
      </c>
      <c r="R69" s="11">
        <v>196181</v>
      </c>
      <c r="S69" s="11">
        <v>307518</v>
      </c>
      <c r="T69" s="11">
        <v>515058</v>
      </c>
      <c r="U69" s="11">
        <v>381761</v>
      </c>
      <c r="V69" s="11">
        <v>1857</v>
      </c>
      <c r="W69" s="11">
        <v>20414</v>
      </c>
      <c r="X69" s="11">
        <v>272</v>
      </c>
      <c r="Y69" s="11">
        <v>762160</v>
      </c>
      <c r="Z69" s="11">
        <v>2963</v>
      </c>
      <c r="AA69" s="11">
        <v>123767</v>
      </c>
      <c r="AB69" s="11">
        <v>11663</v>
      </c>
      <c r="AC69" s="11">
        <v>35722</v>
      </c>
      <c r="AD69" s="11">
        <v>39464</v>
      </c>
      <c r="AE69" s="11">
        <v>8304</v>
      </c>
      <c r="AF69" s="11">
        <v>122238</v>
      </c>
      <c r="AG69" s="11">
        <v>55181</v>
      </c>
      <c r="AH69" s="11">
        <v>66005</v>
      </c>
      <c r="AI69" s="11">
        <v>62157</v>
      </c>
      <c r="AJ69" s="11">
        <v>114101</v>
      </c>
      <c r="AK69" s="11">
        <v>10891</v>
      </c>
      <c r="AL69" s="12">
        <v>14871</v>
      </c>
    </row>
    <row r="70" spans="1:38" x14ac:dyDescent="0.25">
      <c r="A70" s="2">
        <v>69</v>
      </c>
      <c r="B70" s="3" t="s">
        <v>171</v>
      </c>
      <c r="C70" s="2" t="s">
        <v>172</v>
      </c>
      <c r="D70" s="13">
        <f>_xlfn.XLOOKUP(Table1[[#This Row],[Country / Territory]],[1]!Table9[Country],[1]!Table9[Total Pop],"None",0)</f>
        <v>587837989</v>
      </c>
      <c r="E70" s="13">
        <f>_xlfn.XLOOKUP(Table1[[#This Row],[Country / Territory]],[1]!Table9[Country],[1]!Table9[Total F],"None",0)</f>
        <v>298303131</v>
      </c>
      <c r="F70" s="13">
        <f>_xlfn.XLOOKUP(Table1[[#This Row],[Country / Territory]],[1]!Table9[Country],[1]!Table9[Total M],"None",0)</f>
        <v>289534858</v>
      </c>
      <c r="G70" s="9">
        <v>3479255</v>
      </c>
      <c r="H70" s="9">
        <v>11783</v>
      </c>
      <c r="I70" s="9">
        <v>75095</v>
      </c>
      <c r="J70" s="9">
        <v>16844</v>
      </c>
      <c r="K70" s="9">
        <v>7428</v>
      </c>
      <c r="L70" s="9">
        <v>7106</v>
      </c>
      <c r="M70" s="9">
        <v>32172</v>
      </c>
      <c r="N70" s="9">
        <v>31380</v>
      </c>
      <c r="O70" s="9">
        <v>5458</v>
      </c>
      <c r="P70" s="9">
        <v>1926</v>
      </c>
      <c r="Q70" s="9">
        <v>4091</v>
      </c>
      <c r="R70" s="9">
        <v>41538</v>
      </c>
      <c r="S70" s="9">
        <v>1149527</v>
      </c>
      <c r="T70" s="9">
        <v>130288</v>
      </c>
      <c r="U70" s="9">
        <v>76201</v>
      </c>
      <c r="V70" s="9">
        <v>15616</v>
      </c>
      <c r="W70" s="9">
        <v>168817</v>
      </c>
      <c r="X70" s="9">
        <v>37228</v>
      </c>
      <c r="Y70" s="9">
        <v>47298</v>
      </c>
      <c r="Z70" s="9">
        <v>2512</v>
      </c>
      <c r="AA70" s="9">
        <v>399926</v>
      </c>
      <c r="AB70" s="9">
        <v>82347</v>
      </c>
      <c r="AC70" s="9">
        <v>232901</v>
      </c>
      <c r="AD70" s="9">
        <v>122796</v>
      </c>
      <c r="AE70" s="9">
        <v>2953</v>
      </c>
      <c r="AF70" s="9">
        <v>6971</v>
      </c>
      <c r="AG70" s="9">
        <v>94894</v>
      </c>
      <c r="AH70" s="9">
        <v>351548</v>
      </c>
      <c r="AI70" s="9">
        <v>141622</v>
      </c>
      <c r="AJ70" s="9">
        <v>168215</v>
      </c>
      <c r="AK70" s="9">
        <v>11899</v>
      </c>
      <c r="AL70" s="10">
        <v>875</v>
      </c>
    </row>
    <row r="71" spans="1:38" x14ac:dyDescent="0.25">
      <c r="A71" s="4">
        <v>70</v>
      </c>
      <c r="B71" s="5" t="s">
        <v>173</v>
      </c>
      <c r="C71" s="4" t="s">
        <v>174</v>
      </c>
      <c r="D71" s="13">
        <f>_xlfn.XLOOKUP(Table1[[#This Row],[Country / Territory]],[1]!Table9[Country],[1]!Table9[Total Pop],"None",0)</f>
        <v>766612614</v>
      </c>
      <c r="E71" s="13">
        <f>_xlfn.XLOOKUP(Table1[[#This Row],[Country / Territory]],[1]!Table9[Country],[1]!Table9[Total F],"None",0)</f>
        <v>369532051</v>
      </c>
      <c r="F71" s="13">
        <f>_xlfn.XLOOKUP(Table1[[#This Row],[Country / Territory]],[1]!Table9[Country],[1]!Table9[Total M],"None",0)</f>
        <v>397080563</v>
      </c>
      <c r="G71" s="11">
        <v>3387621</v>
      </c>
      <c r="H71" s="11">
        <v>10204</v>
      </c>
      <c r="I71" s="11">
        <v>64618</v>
      </c>
      <c r="J71" s="11">
        <v>16274</v>
      </c>
      <c r="K71" s="11">
        <v>5563</v>
      </c>
      <c r="L71" s="11">
        <v>1437</v>
      </c>
      <c r="M71" s="11">
        <v>21733</v>
      </c>
      <c r="N71" s="11">
        <v>16974</v>
      </c>
      <c r="O71" s="11">
        <v>9806</v>
      </c>
      <c r="P71" s="11">
        <v>49843</v>
      </c>
      <c r="Q71" s="11">
        <v>2393</v>
      </c>
      <c r="R71" s="11">
        <v>64779</v>
      </c>
      <c r="S71" s="11">
        <v>1194056</v>
      </c>
      <c r="T71" s="11">
        <v>336632</v>
      </c>
      <c r="U71" s="11">
        <v>58843</v>
      </c>
      <c r="V71" s="11">
        <v>4559</v>
      </c>
      <c r="W71" s="11">
        <v>38809</v>
      </c>
      <c r="X71" s="11">
        <v>794</v>
      </c>
      <c r="Y71" s="11">
        <v>31782</v>
      </c>
      <c r="Z71" s="11">
        <v>371</v>
      </c>
      <c r="AA71" s="11">
        <v>570533</v>
      </c>
      <c r="AB71" s="11">
        <v>123</v>
      </c>
      <c r="AC71" s="11">
        <v>90231</v>
      </c>
      <c r="AD71" s="11">
        <v>113850</v>
      </c>
      <c r="AE71" s="11">
        <v>5519</v>
      </c>
      <c r="AF71" s="11">
        <v>5275</v>
      </c>
      <c r="AG71" s="11">
        <v>178875</v>
      </c>
      <c r="AH71" s="11">
        <v>183160</v>
      </c>
      <c r="AI71" s="11">
        <v>94730</v>
      </c>
      <c r="AJ71" s="11">
        <v>202459</v>
      </c>
      <c r="AK71" s="11">
        <v>7393</v>
      </c>
      <c r="AL71" s="12">
        <v>6003</v>
      </c>
    </row>
    <row r="72" spans="1:38" x14ac:dyDescent="0.25">
      <c r="A72" s="2">
        <v>71</v>
      </c>
      <c r="B72" s="3" t="s">
        <v>175</v>
      </c>
      <c r="C72" s="2" t="s">
        <v>176</v>
      </c>
      <c r="D72" s="13">
        <f>_xlfn.XLOOKUP(Table1[[#This Row],[Country / Territory]],[1]!Table9[Country],[1]!Table9[Total Pop],"None",0)</f>
        <v>221790506</v>
      </c>
      <c r="E72" s="13">
        <f>_xlfn.XLOOKUP(Table1[[#This Row],[Country / Territory]],[1]!Table9[Country],[1]!Table9[Total F],"None",0)</f>
        <v>116200563</v>
      </c>
      <c r="F72" s="13">
        <f>_xlfn.XLOOKUP(Table1[[#This Row],[Country / Territory]],[1]!Table9[Country],[1]!Table9[Total M],"None",0)</f>
        <v>105589943</v>
      </c>
      <c r="G72" s="9">
        <v>3366448</v>
      </c>
      <c r="H72" s="9">
        <v>1491</v>
      </c>
      <c r="I72" s="9">
        <v>58299</v>
      </c>
      <c r="J72" s="9">
        <v>19371</v>
      </c>
      <c r="K72" s="9">
        <v>521</v>
      </c>
      <c r="L72" s="9">
        <v>0</v>
      </c>
      <c r="M72" s="9">
        <v>4993</v>
      </c>
      <c r="N72" s="9">
        <v>11085</v>
      </c>
      <c r="O72" s="9">
        <v>434</v>
      </c>
      <c r="P72" s="9">
        <v>1762</v>
      </c>
      <c r="Q72" s="9">
        <v>1610</v>
      </c>
      <c r="R72" s="9">
        <v>8575</v>
      </c>
      <c r="S72" s="9">
        <v>1871623</v>
      </c>
      <c r="T72" s="9">
        <v>38458</v>
      </c>
      <c r="U72" s="9">
        <v>23352</v>
      </c>
      <c r="V72" s="9">
        <v>12618</v>
      </c>
      <c r="W72" s="9">
        <v>61881</v>
      </c>
      <c r="X72" s="9">
        <v>110</v>
      </c>
      <c r="Y72" s="9">
        <v>881</v>
      </c>
      <c r="Z72" s="9">
        <v>2145</v>
      </c>
      <c r="AA72" s="9">
        <v>748460</v>
      </c>
      <c r="AB72" s="9">
        <v>15002</v>
      </c>
      <c r="AC72" s="9">
        <v>96475</v>
      </c>
      <c r="AD72" s="9">
        <v>60218</v>
      </c>
      <c r="AE72" s="9">
        <v>1606</v>
      </c>
      <c r="AF72" s="9">
        <v>269</v>
      </c>
      <c r="AG72" s="9">
        <v>33328</v>
      </c>
      <c r="AH72" s="9">
        <v>116869</v>
      </c>
      <c r="AI72" s="9">
        <v>47483</v>
      </c>
      <c r="AJ72" s="9">
        <v>123698</v>
      </c>
      <c r="AK72" s="9">
        <v>3585</v>
      </c>
      <c r="AL72" s="10">
        <v>246</v>
      </c>
    </row>
    <row r="73" spans="1:38" x14ac:dyDescent="0.25">
      <c r="A73" s="4">
        <v>72</v>
      </c>
      <c r="B73" s="5" t="s">
        <v>177</v>
      </c>
      <c r="C73" s="4" t="s">
        <v>178</v>
      </c>
      <c r="D73" s="13">
        <f>_xlfn.XLOOKUP(Table1[[#This Row],[Country / Territory]],[1]!Table9[Country],[1]!Table9[Total Pop],"None",0)</f>
        <v>311316056</v>
      </c>
      <c r="E73" s="13">
        <f>_xlfn.XLOOKUP(Table1[[#This Row],[Country / Territory]],[1]!Table9[Country],[1]!Table9[Total F],"None",0)</f>
        <v>159158390</v>
      </c>
      <c r="F73" s="13">
        <f>_xlfn.XLOOKUP(Table1[[#This Row],[Country / Territory]],[1]!Table9[Country],[1]!Table9[Total M],"None",0)</f>
        <v>152157666</v>
      </c>
      <c r="G73" s="11">
        <v>3253307</v>
      </c>
      <c r="H73" s="11">
        <v>1832</v>
      </c>
      <c r="I73" s="11">
        <v>103792</v>
      </c>
      <c r="J73" s="11">
        <v>22201</v>
      </c>
      <c r="K73" s="11">
        <v>1553</v>
      </c>
      <c r="L73" s="11">
        <v>0</v>
      </c>
      <c r="M73" s="11">
        <v>6929</v>
      </c>
      <c r="N73" s="11">
        <v>5216</v>
      </c>
      <c r="O73" s="11">
        <v>206</v>
      </c>
      <c r="P73" s="11">
        <v>356</v>
      </c>
      <c r="Q73" s="11">
        <v>2435</v>
      </c>
      <c r="R73" s="11">
        <v>2759</v>
      </c>
      <c r="S73" s="11">
        <v>1652941</v>
      </c>
      <c r="T73" s="11">
        <v>82309</v>
      </c>
      <c r="U73" s="11">
        <v>7875</v>
      </c>
      <c r="V73" s="11">
        <v>10735</v>
      </c>
      <c r="W73" s="11">
        <v>54379</v>
      </c>
      <c r="X73" s="11">
        <v>81</v>
      </c>
      <c r="Y73" s="11">
        <v>3658</v>
      </c>
      <c r="Z73" s="11">
        <v>3738</v>
      </c>
      <c r="AA73" s="11">
        <v>861957</v>
      </c>
      <c r="AB73" s="11">
        <v>17</v>
      </c>
      <c r="AC73" s="11">
        <v>59397</v>
      </c>
      <c r="AD73" s="11">
        <v>32131</v>
      </c>
      <c r="AE73" s="11">
        <v>3645</v>
      </c>
      <c r="AF73" s="11">
        <v>1301</v>
      </c>
      <c r="AG73" s="11">
        <v>36858</v>
      </c>
      <c r="AH73" s="11">
        <v>87543</v>
      </c>
      <c r="AI73" s="11">
        <v>67652</v>
      </c>
      <c r="AJ73" s="11">
        <v>136883</v>
      </c>
      <c r="AK73" s="11">
        <v>2755</v>
      </c>
      <c r="AL73" s="12">
        <v>173</v>
      </c>
    </row>
    <row r="74" spans="1:38" x14ac:dyDescent="0.25">
      <c r="A74" s="2">
        <v>73</v>
      </c>
      <c r="B74" s="3" t="s">
        <v>179</v>
      </c>
      <c r="C74" s="2" t="s">
        <v>180</v>
      </c>
      <c r="D74" s="13">
        <f>_xlfn.XLOOKUP(Table1[[#This Row],[Country / Territory]],[1]!Table9[Country],[1]!Table9[Total Pop],"None",0)</f>
        <v>386307557</v>
      </c>
      <c r="E74" s="13">
        <f>_xlfn.XLOOKUP(Table1[[#This Row],[Country / Territory]],[1]!Table9[Country],[1]!Table9[Total F],"None",0)</f>
        <v>199004151</v>
      </c>
      <c r="F74" s="13">
        <f>_xlfn.XLOOKUP(Table1[[#This Row],[Country / Territory]],[1]!Table9[Country],[1]!Table9[Total M],"None",0)</f>
        <v>187303406</v>
      </c>
      <c r="G74" s="9">
        <v>3177198</v>
      </c>
      <c r="H74" s="9">
        <v>16138</v>
      </c>
      <c r="I74" s="9">
        <v>29730</v>
      </c>
      <c r="J74" s="9">
        <v>7467</v>
      </c>
      <c r="K74" s="9">
        <v>50348</v>
      </c>
      <c r="L74" s="9">
        <v>13505</v>
      </c>
      <c r="M74" s="9">
        <v>42415</v>
      </c>
      <c r="N74" s="9">
        <v>14445</v>
      </c>
      <c r="O74" s="9">
        <v>32001</v>
      </c>
      <c r="P74" s="9">
        <v>104487</v>
      </c>
      <c r="Q74" s="9">
        <v>801</v>
      </c>
      <c r="R74" s="9">
        <v>258403</v>
      </c>
      <c r="S74" s="9">
        <v>610359</v>
      </c>
      <c r="T74" s="9">
        <v>507250</v>
      </c>
      <c r="U74" s="9">
        <v>205088</v>
      </c>
      <c r="V74" s="9">
        <v>3476</v>
      </c>
      <c r="W74" s="9">
        <v>20553</v>
      </c>
      <c r="X74" s="9">
        <v>1685</v>
      </c>
      <c r="Y74" s="9">
        <v>120610</v>
      </c>
      <c r="Z74" s="9">
        <v>133</v>
      </c>
      <c r="AA74" s="9">
        <v>278331</v>
      </c>
      <c r="AB74" s="9">
        <v>4859</v>
      </c>
      <c r="AC74" s="9">
        <v>68902</v>
      </c>
      <c r="AD74" s="9">
        <v>46626</v>
      </c>
      <c r="AE74" s="9">
        <v>2619</v>
      </c>
      <c r="AF74" s="9">
        <v>47177</v>
      </c>
      <c r="AG74" s="9">
        <v>82216</v>
      </c>
      <c r="AH74" s="9">
        <v>108599</v>
      </c>
      <c r="AI74" s="9">
        <v>189074</v>
      </c>
      <c r="AJ74" s="9">
        <v>293928</v>
      </c>
      <c r="AK74" s="9">
        <v>7357</v>
      </c>
      <c r="AL74" s="10">
        <v>8616</v>
      </c>
    </row>
    <row r="75" spans="1:38" x14ac:dyDescent="0.25">
      <c r="A75" s="4">
        <v>74</v>
      </c>
      <c r="B75" s="5" t="s">
        <v>181</v>
      </c>
      <c r="C75" s="4" t="s">
        <v>182</v>
      </c>
      <c r="D75" s="13">
        <f>_xlfn.XLOOKUP(Table1[[#This Row],[Country / Territory]],[1]!Table9[Country],[1]!Table9[Total Pop],"None",0)</f>
        <v>282693175</v>
      </c>
      <c r="E75" s="13">
        <f>_xlfn.XLOOKUP(Table1[[#This Row],[Country / Territory]],[1]!Table9[Country],[1]!Table9[Total F],"None",0)</f>
        <v>143781595</v>
      </c>
      <c r="F75" s="13">
        <f>_xlfn.XLOOKUP(Table1[[#This Row],[Country / Territory]],[1]!Table9[Country],[1]!Table9[Total M],"None",0)</f>
        <v>138911580</v>
      </c>
      <c r="G75" s="11">
        <v>3138945</v>
      </c>
      <c r="H75" s="11">
        <v>101125</v>
      </c>
      <c r="I75" s="11">
        <v>22010</v>
      </c>
      <c r="J75" s="11">
        <v>6613</v>
      </c>
      <c r="K75" s="11">
        <v>85381</v>
      </c>
      <c r="L75" s="11">
        <v>362660</v>
      </c>
      <c r="M75" s="11">
        <v>16168</v>
      </c>
      <c r="N75" s="11">
        <v>20002</v>
      </c>
      <c r="O75" s="11">
        <v>61024</v>
      </c>
      <c r="P75" s="11">
        <v>98415</v>
      </c>
      <c r="Q75" s="11">
        <v>312</v>
      </c>
      <c r="R75" s="11">
        <v>142635</v>
      </c>
      <c r="S75" s="11">
        <v>363385</v>
      </c>
      <c r="T75" s="11">
        <v>465928</v>
      </c>
      <c r="U75" s="11">
        <v>359684</v>
      </c>
      <c r="V75" s="11">
        <v>1918</v>
      </c>
      <c r="W75" s="11">
        <v>17788</v>
      </c>
      <c r="X75" s="11">
        <v>39</v>
      </c>
      <c r="Y75" s="11">
        <v>289563</v>
      </c>
      <c r="Z75" s="11">
        <v>2488</v>
      </c>
      <c r="AA75" s="11">
        <v>202921</v>
      </c>
      <c r="AB75" s="11">
        <v>1879</v>
      </c>
      <c r="AC75" s="11">
        <v>47968</v>
      </c>
      <c r="AD75" s="11">
        <v>48969</v>
      </c>
      <c r="AE75" s="11">
        <v>7638</v>
      </c>
      <c r="AF75" s="11">
        <v>83345</v>
      </c>
      <c r="AG75" s="11">
        <v>56337</v>
      </c>
      <c r="AH75" s="11">
        <v>76316</v>
      </c>
      <c r="AI75" s="11">
        <v>65990</v>
      </c>
      <c r="AJ75" s="11">
        <v>108468</v>
      </c>
      <c r="AK75" s="11">
        <v>10740</v>
      </c>
      <c r="AL75" s="12">
        <v>11236</v>
      </c>
    </row>
    <row r="76" spans="1:38" x14ac:dyDescent="0.25">
      <c r="A76" s="2">
        <v>75</v>
      </c>
      <c r="B76" s="3" t="s">
        <v>183</v>
      </c>
      <c r="C76" s="2" t="s">
        <v>184</v>
      </c>
      <c r="D76" s="13">
        <f>_xlfn.XLOOKUP(Table1[[#This Row],[Country / Territory]],[1]!Table9[Country],[1]!Table9[Total Pop],"None",0)</f>
        <v>323832588</v>
      </c>
      <c r="E76" s="13">
        <f>_xlfn.XLOOKUP(Table1[[#This Row],[Country / Territory]],[1]!Table9[Country],[1]!Table9[Total F],"None",0)</f>
        <v>165162426</v>
      </c>
      <c r="F76" s="13">
        <f>_xlfn.XLOOKUP(Table1[[#This Row],[Country / Territory]],[1]!Table9[Country],[1]!Table9[Total M],"None",0)</f>
        <v>158670162</v>
      </c>
      <c r="G76" s="9">
        <v>3124015</v>
      </c>
      <c r="H76" s="9">
        <v>1291</v>
      </c>
      <c r="I76" s="9">
        <v>123503</v>
      </c>
      <c r="J76" s="9">
        <v>31404</v>
      </c>
      <c r="K76" s="9">
        <v>306</v>
      </c>
      <c r="L76" s="9">
        <v>0</v>
      </c>
      <c r="M76" s="9">
        <v>10846</v>
      </c>
      <c r="N76" s="9">
        <v>4084</v>
      </c>
      <c r="O76" s="9">
        <v>158</v>
      </c>
      <c r="P76" s="9">
        <v>1009</v>
      </c>
      <c r="Q76" s="9">
        <v>7160</v>
      </c>
      <c r="R76" s="9">
        <v>4587</v>
      </c>
      <c r="S76" s="9">
        <v>1453438</v>
      </c>
      <c r="T76" s="9">
        <v>99752</v>
      </c>
      <c r="U76" s="9">
        <v>7981</v>
      </c>
      <c r="V76" s="9">
        <v>1085</v>
      </c>
      <c r="W76" s="9">
        <v>13763</v>
      </c>
      <c r="X76" s="9">
        <v>238</v>
      </c>
      <c r="Y76" s="9">
        <v>594</v>
      </c>
      <c r="Z76" s="9">
        <v>852</v>
      </c>
      <c r="AA76" s="9">
        <v>902379</v>
      </c>
      <c r="AB76" s="9">
        <v>105</v>
      </c>
      <c r="AC76" s="9">
        <v>34135</v>
      </c>
      <c r="AD76" s="9">
        <v>96773</v>
      </c>
      <c r="AE76" s="9">
        <v>917</v>
      </c>
      <c r="AF76" s="9">
        <v>155</v>
      </c>
      <c r="AG76" s="9">
        <v>56043</v>
      </c>
      <c r="AH76" s="9">
        <v>127666</v>
      </c>
      <c r="AI76" s="9">
        <v>42974</v>
      </c>
      <c r="AJ76" s="9">
        <v>95956</v>
      </c>
      <c r="AK76" s="9">
        <v>3716</v>
      </c>
      <c r="AL76" s="10">
        <v>1145</v>
      </c>
    </row>
    <row r="77" spans="1:38" x14ac:dyDescent="0.25">
      <c r="A77" s="4">
        <v>76</v>
      </c>
      <c r="B77" s="5" t="s">
        <v>185</v>
      </c>
      <c r="C77" s="4" t="s">
        <v>186</v>
      </c>
      <c r="D77" s="13">
        <f>_xlfn.XLOOKUP(Table1[[#This Row],[Country / Territory]],[1]!Table9[Country],[1]!Table9[Total Pop],"None",0)</f>
        <v>309196982</v>
      </c>
      <c r="E77" s="13">
        <f>_xlfn.XLOOKUP(Table1[[#This Row],[Country / Territory]],[1]!Table9[Country],[1]!Table9[Total F],"None",0)</f>
        <v>160903118</v>
      </c>
      <c r="F77" s="13">
        <f>_xlfn.XLOOKUP(Table1[[#This Row],[Country / Territory]],[1]!Table9[Country],[1]!Table9[Total M],"None",0)</f>
        <v>148293864</v>
      </c>
      <c r="G77" s="11">
        <v>3090408</v>
      </c>
      <c r="H77" s="11">
        <v>2028</v>
      </c>
      <c r="I77" s="11">
        <v>117671</v>
      </c>
      <c r="J77" s="11">
        <v>26758</v>
      </c>
      <c r="K77" s="11">
        <v>3832</v>
      </c>
      <c r="L77" s="11">
        <v>0</v>
      </c>
      <c r="M77" s="11">
        <v>4219</v>
      </c>
      <c r="N77" s="11">
        <v>7301</v>
      </c>
      <c r="O77" s="11">
        <v>266</v>
      </c>
      <c r="P77" s="11">
        <v>23564</v>
      </c>
      <c r="Q77" s="11">
        <v>1730</v>
      </c>
      <c r="R77" s="11">
        <v>10734</v>
      </c>
      <c r="S77" s="11">
        <v>1168117</v>
      </c>
      <c r="T77" s="11">
        <v>172377</v>
      </c>
      <c r="U77" s="11">
        <v>8056</v>
      </c>
      <c r="V77" s="11">
        <v>4609</v>
      </c>
      <c r="W77" s="11">
        <v>44312</v>
      </c>
      <c r="X77" s="11">
        <v>133</v>
      </c>
      <c r="Y77" s="11">
        <v>3272</v>
      </c>
      <c r="Z77" s="11">
        <v>1191</v>
      </c>
      <c r="AA77" s="11">
        <v>807152</v>
      </c>
      <c r="AB77" s="11">
        <v>11</v>
      </c>
      <c r="AC77" s="11">
        <v>116415</v>
      </c>
      <c r="AD77" s="11">
        <v>87915</v>
      </c>
      <c r="AE77" s="11">
        <v>992</v>
      </c>
      <c r="AF77" s="11">
        <v>3018</v>
      </c>
      <c r="AG77" s="11">
        <v>60113</v>
      </c>
      <c r="AH77" s="11">
        <v>172346</v>
      </c>
      <c r="AI77" s="11">
        <v>80697</v>
      </c>
      <c r="AJ77" s="11">
        <v>156107</v>
      </c>
      <c r="AK77" s="11">
        <v>5116</v>
      </c>
      <c r="AL77" s="12">
        <v>356</v>
      </c>
    </row>
    <row r="78" spans="1:38" x14ac:dyDescent="0.25">
      <c r="A78" s="2">
        <v>77</v>
      </c>
      <c r="B78" s="3" t="s">
        <v>187</v>
      </c>
      <c r="C78" s="2" t="s">
        <v>188</v>
      </c>
      <c r="D78" s="13">
        <f>_xlfn.XLOOKUP(Table1[[#This Row],[Country / Territory]],[1]!Table9[Country],[1]!Table9[Total Pop],"None",0)</f>
        <v>279004716</v>
      </c>
      <c r="E78" s="13">
        <f>_xlfn.XLOOKUP(Table1[[#This Row],[Country / Territory]],[1]!Table9[Country],[1]!Table9[Total F],"None",0)</f>
        <v>144107039</v>
      </c>
      <c r="F78" s="13">
        <f>_xlfn.XLOOKUP(Table1[[#This Row],[Country / Territory]],[1]!Table9[Country],[1]!Table9[Total M],"None",0)</f>
        <v>134897677</v>
      </c>
      <c r="G78" s="9">
        <v>3070775</v>
      </c>
      <c r="H78" s="9">
        <v>53384</v>
      </c>
      <c r="I78" s="9">
        <v>12203</v>
      </c>
      <c r="J78" s="9">
        <v>2943</v>
      </c>
      <c r="K78" s="9">
        <v>75861</v>
      </c>
      <c r="L78" s="9">
        <v>198066</v>
      </c>
      <c r="M78" s="9">
        <v>8955</v>
      </c>
      <c r="N78" s="9">
        <v>11964</v>
      </c>
      <c r="O78" s="9">
        <v>36469</v>
      </c>
      <c r="P78" s="9">
        <v>226568</v>
      </c>
      <c r="Q78" s="9">
        <v>351</v>
      </c>
      <c r="R78" s="9">
        <v>209473</v>
      </c>
      <c r="S78" s="9">
        <v>278336</v>
      </c>
      <c r="T78" s="9">
        <v>259524</v>
      </c>
      <c r="U78" s="9">
        <v>209929</v>
      </c>
      <c r="V78" s="9">
        <v>2729</v>
      </c>
      <c r="W78" s="9">
        <v>20201</v>
      </c>
      <c r="X78" s="9">
        <v>458</v>
      </c>
      <c r="Y78" s="9">
        <v>308316</v>
      </c>
      <c r="Z78" s="9">
        <v>1687</v>
      </c>
      <c r="AA78" s="9">
        <v>148334</v>
      </c>
      <c r="AB78" s="9">
        <v>528779</v>
      </c>
      <c r="AC78" s="9">
        <v>41385</v>
      </c>
      <c r="AD78" s="9">
        <v>28155</v>
      </c>
      <c r="AE78" s="9">
        <v>6139</v>
      </c>
      <c r="AF78" s="9">
        <v>73568</v>
      </c>
      <c r="AG78" s="9">
        <v>70689</v>
      </c>
      <c r="AH78" s="9">
        <v>67750</v>
      </c>
      <c r="AI78" s="9">
        <v>66153</v>
      </c>
      <c r="AJ78" s="9">
        <v>108696</v>
      </c>
      <c r="AK78" s="9">
        <v>6722</v>
      </c>
      <c r="AL78" s="10">
        <v>6988</v>
      </c>
    </row>
    <row r="79" spans="1:38" x14ac:dyDescent="0.25">
      <c r="A79" s="4">
        <v>78</v>
      </c>
      <c r="B79" s="5" t="s">
        <v>189</v>
      </c>
      <c r="C79" s="4" t="s">
        <v>190</v>
      </c>
      <c r="D79" s="13">
        <f>_xlfn.XLOOKUP(Table1[[#This Row],[Country / Territory]],[1]!Table9[Country],[1]!Table9[Total Pop],"None",0)</f>
        <v>318253893</v>
      </c>
      <c r="E79" s="13">
        <f>_xlfn.XLOOKUP(Table1[[#This Row],[Country / Territory]],[1]!Table9[Country],[1]!Table9[Total F],"None",0)</f>
        <v>162271658</v>
      </c>
      <c r="F79" s="13">
        <f>_xlfn.XLOOKUP(Table1[[#This Row],[Country / Territory]],[1]!Table9[Country],[1]!Table9[Total M],"None",0)</f>
        <v>155982235</v>
      </c>
      <c r="G79" s="11">
        <v>3006741</v>
      </c>
      <c r="H79" s="11">
        <v>1691</v>
      </c>
      <c r="I79" s="11">
        <v>138986</v>
      </c>
      <c r="J79" s="11">
        <v>30009</v>
      </c>
      <c r="K79" s="11">
        <v>7089</v>
      </c>
      <c r="L79" s="11">
        <v>0</v>
      </c>
      <c r="M79" s="11">
        <v>2770</v>
      </c>
      <c r="N79" s="11">
        <v>5780</v>
      </c>
      <c r="O79" s="11">
        <v>232</v>
      </c>
      <c r="P79" s="11">
        <v>2996</v>
      </c>
      <c r="Q79" s="11">
        <v>4941</v>
      </c>
      <c r="R79" s="11">
        <v>3692</v>
      </c>
      <c r="S79" s="11">
        <v>1037826</v>
      </c>
      <c r="T79" s="11">
        <v>152118</v>
      </c>
      <c r="U79" s="11">
        <v>7634</v>
      </c>
      <c r="V79" s="11">
        <v>11944</v>
      </c>
      <c r="W79" s="11">
        <v>68836</v>
      </c>
      <c r="X79" s="11">
        <v>44</v>
      </c>
      <c r="Y79" s="11">
        <v>15117</v>
      </c>
      <c r="Z79" s="11">
        <v>1402</v>
      </c>
      <c r="AA79" s="11">
        <v>921997</v>
      </c>
      <c r="AB79" s="11">
        <v>165</v>
      </c>
      <c r="AC79" s="11">
        <v>52810</v>
      </c>
      <c r="AD79" s="11">
        <v>62771</v>
      </c>
      <c r="AE79" s="11">
        <v>1636</v>
      </c>
      <c r="AF79" s="11">
        <v>6140</v>
      </c>
      <c r="AG79" s="11">
        <v>41391</v>
      </c>
      <c r="AH79" s="11">
        <v>209375</v>
      </c>
      <c r="AI79" s="11">
        <v>59178</v>
      </c>
      <c r="AJ79" s="11">
        <v>153724</v>
      </c>
      <c r="AK79" s="11">
        <v>4190</v>
      </c>
      <c r="AL79" s="12">
        <v>257</v>
      </c>
    </row>
    <row r="80" spans="1:38" x14ac:dyDescent="0.25">
      <c r="A80" s="2">
        <v>79</v>
      </c>
      <c r="B80" s="3" t="s">
        <v>191</v>
      </c>
      <c r="C80" s="2" t="s">
        <v>192</v>
      </c>
      <c r="D80" s="13">
        <f>_xlfn.XLOOKUP(Table1[[#This Row],[Country / Territory]],[1]!Table9[Country],[1]!Table9[Total Pop],"None",0)</f>
        <v>242934795</v>
      </c>
      <c r="E80" s="13">
        <f>_xlfn.XLOOKUP(Table1[[#This Row],[Country / Territory]],[1]!Table9[Country],[1]!Table9[Total F],"None",0)</f>
        <v>122864441</v>
      </c>
      <c r="F80" s="13">
        <f>_xlfn.XLOOKUP(Table1[[#This Row],[Country / Territory]],[1]!Table9[Country],[1]!Table9[Total M],"None",0)</f>
        <v>120070354</v>
      </c>
      <c r="G80" s="9">
        <v>2807113</v>
      </c>
      <c r="H80" s="9">
        <v>45933</v>
      </c>
      <c r="I80" s="9">
        <v>9765</v>
      </c>
      <c r="J80" s="9">
        <v>2688</v>
      </c>
      <c r="K80" s="9">
        <v>92461</v>
      </c>
      <c r="L80" s="9">
        <v>320767</v>
      </c>
      <c r="M80" s="9">
        <v>9904</v>
      </c>
      <c r="N80" s="9">
        <v>2595</v>
      </c>
      <c r="O80" s="9">
        <v>39659</v>
      </c>
      <c r="P80" s="9">
        <v>312891</v>
      </c>
      <c r="Q80" s="9">
        <v>291</v>
      </c>
      <c r="R80" s="9">
        <v>259426</v>
      </c>
      <c r="S80" s="9">
        <v>262614</v>
      </c>
      <c r="T80" s="9">
        <v>212757</v>
      </c>
      <c r="U80" s="9">
        <v>244032</v>
      </c>
      <c r="V80" s="9">
        <v>1844</v>
      </c>
      <c r="W80" s="9">
        <v>19662</v>
      </c>
      <c r="X80" s="9">
        <v>235</v>
      </c>
      <c r="Y80" s="9">
        <v>278912</v>
      </c>
      <c r="Z80" s="9">
        <v>2161</v>
      </c>
      <c r="AA80" s="9">
        <v>118648</v>
      </c>
      <c r="AB80" s="9">
        <v>163935</v>
      </c>
      <c r="AC80" s="9">
        <v>34307</v>
      </c>
      <c r="AD80" s="9">
        <v>24401</v>
      </c>
      <c r="AE80" s="9">
        <v>6953</v>
      </c>
      <c r="AF80" s="9">
        <v>89396</v>
      </c>
      <c r="AG80" s="9">
        <v>46865</v>
      </c>
      <c r="AH80" s="9">
        <v>62573</v>
      </c>
      <c r="AI80" s="9">
        <v>47720</v>
      </c>
      <c r="AJ80" s="9">
        <v>81242</v>
      </c>
      <c r="AK80" s="9">
        <v>7316</v>
      </c>
      <c r="AL80" s="10">
        <v>5160</v>
      </c>
    </row>
    <row r="81" spans="1:38" x14ac:dyDescent="0.25">
      <c r="A81" s="4">
        <v>80</v>
      </c>
      <c r="B81" s="5" t="s">
        <v>193</v>
      </c>
      <c r="C81" s="4" t="s">
        <v>194</v>
      </c>
      <c r="D81" s="13">
        <f>_xlfn.XLOOKUP(Table1[[#This Row],[Country / Territory]],[1]!Table9[Country],[1]!Table9[Total Pop],"None",0)</f>
        <v>269334169</v>
      </c>
      <c r="E81" s="13">
        <f>_xlfn.XLOOKUP(Table1[[#This Row],[Country / Territory]],[1]!Table9[Country],[1]!Table9[Total F],"None",0)</f>
        <v>135627171</v>
      </c>
      <c r="F81" s="13">
        <f>_xlfn.XLOOKUP(Table1[[#This Row],[Country / Territory]],[1]!Table9[Country],[1]!Table9[Total M],"None",0)</f>
        <v>133706998</v>
      </c>
      <c r="G81" s="11">
        <v>2791937</v>
      </c>
      <c r="H81" s="11">
        <v>40890</v>
      </c>
      <c r="I81" s="11">
        <v>14787</v>
      </c>
      <c r="J81" s="11">
        <v>5793</v>
      </c>
      <c r="K81" s="11">
        <v>42414</v>
      </c>
      <c r="L81" s="11">
        <v>28833</v>
      </c>
      <c r="M81" s="11">
        <v>42062</v>
      </c>
      <c r="N81" s="11">
        <v>77719</v>
      </c>
      <c r="O81" s="11">
        <v>44582</v>
      </c>
      <c r="P81" s="11">
        <v>300695</v>
      </c>
      <c r="Q81" s="11">
        <v>716</v>
      </c>
      <c r="R81" s="11">
        <v>45749</v>
      </c>
      <c r="S81" s="11">
        <v>601707</v>
      </c>
      <c r="T81" s="11">
        <v>208656</v>
      </c>
      <c r="U81" s="11">
        <v>156871</v>
      </c>
      <c r="V81" s="11">
        <v>8097</v>
      </c>
      <c r="W81" s="11">
        <v>22867</v>
      </c>
      <c r="X81" s="11">
        <v>231490</v>
      </c>
      <c r="Y81" s="11">
        <v>196771</v>
      </c>
      <c r="Z81" s="11">
        <v>4454</v>
      </c>
      <c r="AA81" s="11">
        <v>227925</v>
      </c>
      <c r="AB81" s="11">
        <v>1029</v>
      </c>
      <c r="AC81" s="11">
        <v>97074</v>
      </c>
      <c r="AD81" s="11">
        <v>48881</v>
      </c>
      <c r="AE81" s="11">
        <v>5693</v>
      </c>
      <c r="AF81" s="11">
        <v>41149</v>
      </c>
      <c r="AG81" s="11">
        <v>33503</v>
      </c>
      <c r="AH81" s="11">
        <v>84435</v>
      </c>
      <c r="AI81" s="11">
        <v>50341</v>
      </c>
      <c r="AJ81" s="11">
        <v>107579</v>
      </c>
      <c r="AK81" s="11">
        <v>16152</v>
      </c>
      <c r="AL81" s="12">
        <v>3023</v>
      </c>
    </row>
    <row r="82" spans="1:38" x14ac:dyDescent="0.25">
      <c r="A82" s="2">
        <v>81</v>
      </c>
      <c r="B82" s="3" t="s">
        <v>195</v>
      </c>
      <c r="C82" s="2" t="s">
        <v>196</v>
      </c>
      <c r="D82" s="13">
        <f>_xlfn.XLOOKUP(Table1[[#This Row],[Country / Territory]],[1]!Table9[Country],[1]!Table9[Total Pop],"None",0)</f>
        <v>275864810</v>
      </c>
      <c r="E82" s="13">
        <f>_xlfn.XLOOKUP(Table1[[#This Row],[Country / Territory]],[1]!Table9[Country],[1]!Table9[Total F],"None",0)</f>
        <v>138801479</v>
      </c>
      <c r="F82" s="13">
        <f>_xlfn.XLOOKUP(Table1[[#This Row],[Country / Territory]],[1]!Table9[Country],[1]!Table9[Total M],"None",0)</f>
        <v>137063331</v>
      </c>
      <c r="G82" s="9">
        <v>2645896</v>
      </c>
      <c r="H82" s="9">
        <v>1157</v>
      </c>
      <c r="I82" s="9">
        <v>147340</v>
      </c>
      <c r="J82" s="9">
        <v>31548</v>
      </c>
      <c r="K82" s="9">
        <v>2919</v>
      </c>
      <c r="L82" s="9">
        <v>0</v>
      </c>
      <c r="M82" s="9">
        <v>3473</v>
      </c>
      <c r="N82" s="9">
        <v>3904</v>
      </c>
      <c r="O82" s="9">
        <v>121</v>
      </c>
      <c r="P82" s="9">
        <v>1379</v>
      </c>
      <c r="Q82" s="9">
        <v>7706</v>
      </c>
      <c r="R82" s="9">
        <v>4000</v>
      </c>
      <c r="S82" s="9">
        <v>1213946</v>
      </c>
      <c r="T82" s="9">
        <v>96953</v>
      </c>
      <c r="U82" s="9">
        <v>4618</v>
      </c>
      <c r="V82" s="9">
        <v>12645</v>
      </c>
      <c r="W82" s="9">
        <v>45243</v>
      </c>
      <c r="X82" s="9">
        <v>60</v>
      </c>
      <c r="Y82" s="9">
        <v>11587</v>
      </c>
      <c r="Z82" s="9">
        <v>2048</v>
      </c>
      <c r="AA82" s="9">
        <v>710254</v>
      </c>
      <c r="AB82" s="9">
        <v>27</v>
      </c>
      <c r="AC82" s="9">
        <v>54982</v>
      </c>
      <c r="AD82" s="9">
        <v>38049</v>
      </c>
      <c r="AE82" s="9">
        <v>1180</v>
      </c>
      <c r="AF82" s="9">
        <v>2339</v>
      </c>
      <c r="AG82" s="9">
        <v>17048</v>
      </c>
      <c r="AH82" s="9">
        <v>107028</v>
      </c>
      <c r="AI82" s="9">
        <v>28634</v>
      </c>
      <c r="AJ82" s="9">
        <v>92419</v>
      </c>
      <c r="AK82" s="9">
        <v>3192</v>
      </c>
      <c r="AL82" s="10">
        <v>97</v>
      </c>
    </row>
    <row r="83" spans="1:38" x14ac:dyDescent="0.25">
      <c r="A83" s="4">
        <v>82</v>
      </c>
      <c r="B83" s="5" t="s">
        <v>197</v>
      </c>
      <c r="C83" s="4" t="s">
        <v>198</v>
      </c>
      <c r="D83" s="13">
        <f>_xlfn.XLOOKUP(Table1[[#This Row],[Country / Territory]],[1]!Table9[Country],[1]!Table9[Total Pop],"None",0)</f>
        <v>615003131</v>
      </c>
      <c r="E83" s="13">
        <f>_xlfn.XLOOKUP(Table1[[#This Row],[Country / Territory]],[1]!Table9[Country],[1]!Table9[Total F],"None",0)</f>
        <v>251507623</v>
      </c>
      <c r="F83" s="13">
        <f>_xlfn.XLOOKUP(Table1[[#This Row],[Country / Territory]],[1]!Table9[Country],[1]!Table9[Total M],"None",0)</f>
        <v>363495508</v>
      </c>
      <c r="G83" s="11">
        <v>2626923</v>
      </c>
      <c r="H83" s="11">
        <v>6453</v>
      </c>
      <c r="I83" s="11">
        <v>35620</v>
      </c>
      <c r="J83" s="11">
        <v>12674</v>
      </c>
      <c r="K83" s="11">
        <v>3250</v>
      </c>
      <c r="L83" s="11">
        <v>832</v>
      </c>
      <c r="M83" s="11">
        <v>18507</v>
      </c>
      <c r="N83" s="11">
        <v>7707</v>
      </c>
      <c r="O83" s="11">
        <v>8367</v>
      </c>
      <c r="P83" s="11">
        <v>11106</v>
      </c>
      <c r="Q83" s="11">
        <v>3436</v>
      </c>
      <c r="R83" s="11">
        <v>48535</v>
      </c>
      <c r="S83" s="11">
        <v>982797</v>
      </c>
      <c r="T83" s="11">
        <v>108663</v>
      </c>
      <c r="U83" s="11">
        <v>147215</v>
      </c>
      <c r="V83" s="11">
        <v>1903</v>
      </c>
      <c r="W83" s="11">
        <v>26827</v>
      </c>
      <c r="X83" s="11">
        <v>416</v>
      </c>
      <c r="Y83" s="11">
        <v>24024</v>
      </c>
      <c r="Z83" s="11">
        <v>244</v>
      </c>
      <c r="AA83" s="11">
        <v>239941</v>
      </c>
      <c r="AB83" s="11">
        <v>1001</v>
      </c>
      <c r="AC83" s="11">
        <v>65129</v>
      </c>
      <c r="AD83" s="11">
        <v>137413</v>
      </c>
      <c r="AE83" s="11">
        <v>5672</v>
      </c>
      <c r="AF83" s="11">
        <v>3133</v>
      </c>
      <c r="AG83" s="11">
        <v>403385</v>
      </c>
      <c r="AH83" s="11">
        <v>93099</v>
      </c>
      <c r="AI83" s="11">
        <v>92019</v>
      </c>
      <c r="AJ83" s="11">
        <v>119165</v>
      </c>
      <c r="AK83" s="11">
        <v>16234</v>
      </c>
      <c r="AL83" s="12">
        <v>2156</v>
      </c>
    </row>
    <row r="84" spans="1:38" x14ac:dyDescent="0.25">
      <c r="A84" s="2">
        <v>83</v>
      </c>
      <c r="B84" s="3" t="s">
        <v>199</v>
      </c>
      <c r="C84" s="2" t="s">
        <v>200</v>
      </c>
      <c r="D84" s="13">
        <f>_xlfn.XLOOKUP(Table1[[#This Row],[Country / Territory]],[1]!Table9[Country],[1]!Table9[Total Pop],"None",0)</f>
        <v>487247754</v>
      </c>
      <c r="E84" s="13">
        <f>_xlfn.XLOOKUP(Table1[[#This Row],[Country / Territory]],[1]!Table9[Country],[1]!Table9[Total F],"None",0)</f>
        <v>244863913</v>
      </c>
      <c r="F84" s="13">
        <f>_xlfn.XLOOKUP(Table1[[#This Row],[Country / Territory]],[1]!Table9[Country],[1]!Table9[Total M],"None",0)</f>
        <v>242383841</v>
      </c>
      <c r="G84" s="9">
        <v>2591836</v>
      </c>
      <c r="H84" s="9">
        <v>5139</v>
      </c>
      <c r="I84" s="9">
        <v>83528</v>
      </c>
      <c r="J84" s="9">
        <v>24452</v>
      </c>
      <c r="K84" s="9">
        <v>13622</v>
      </c>
      <c r="L84" s="9">
        <v>0</v>
      </c>
      <c r="M84" s="9">
        <v>14523</v>
      </c>
      <c r="N84" s="9">
        <v>25098</v>
      </c>
      <c r="O84" s="9">
        <v>2106</v>
      </c>
      <c r="P84" s="9">
        <v>12667</v>
      </c>
      <c r="Q84" s="9">
        <v>1104</v>
      </c>
      <c r="R84" s="9">
        <v>18268</v>
      </c>
      <c r="S84" s="9">
        <v>722163</v>
      </c>
      <c r="T84" s="9">
        <v>145744</v>
      </c>
      <c r="U84" s="9">
        <v>29297</v>
      </c>
      <c r="V84" s="9">
        <v>13931</v>
      </c>
      <c r="W84" s="9">
        <v>62462</v>
      </c>
      <c r="X84" s="9">
        <v>1362</v>
      </c>
      <c r="Y84" s="9">
        <v>9474</v>
      </c>
      <c r="Z84" s="9">
        <v>1451</v>
      </c>
      <c r="AA84" s="9">
        <v>683226</v>
      </c>
      <c r="AB84" s="9">
        <v>44</v>
      </c>
      <c r="AC84" s="9">
        <v>76500</v>
      </c>
      <c r="AD84" s="9">
        <v>91121</v>
      </c>
      <c r="AE84" s="9">
        <v>1520</v>
      </c>
      <c r="AF84" s="9">
        <v>12987</v>
      </c>
      <c r="AG84" s="9">
        <v>69879</v>
      </c>
      <c r="AH84" s="9">
        <v>131062</v>
      </c>
      <c r="AI84" s="9">
        <v>126817</v>
      </c>
      <c r="AJ84" s="9">
        <v>200149</v>
      </c>
      <c r="AK84" s="9">
        <v>11910</v>
      </c>
      <c r="AL84" s="10">
        <v>230</v>
      </c>
    </row>
    <row r="85" spans="1:38" x14ac:dyDescent="0.25">
      <c r="A85" s="4">
        <v>84</v>
      </c>
      <c r="B85" s="5" t="s">
        <v>201</v>
      </c>
      <c r="C85" s="4" t="s">
        <v>202</v>
      </c>
      <c r="D85" s="13">
        <f>_xlfn.XLOOKUP(Table1[[#This Row],[Country / Territory]],[1]!Table9[Country],[1]!Table9[Total Pop],"None",0)</f>
        <v>342659402</v>
      </c>
      <c r="E85" s="13">
        <f>_xlfn.XLOOKUP(Table1[[#This Row],[Country / Territory]],[1]!Table9[Country],[1]!Table9[Total F],"None",0)</f>
        <v>172366305</v>
      </c>
      <c r="F85" s="13">
        <f>_xlfn.XLOOKUP(Table1[[#This Row],[Country / Territory]],[1]!Table9[Country],[1]!Table9[Total M],"None",0)</f>
        <v>170293097</v>
      </c>
      <c r="G85" s="11">
        <v>2489411</v>
      </c>
      <c r="H85" s="11">
        <v>71048</v>
      </c>
      <c r="I85" s="11">
        <v>23104</v>
      </c>
      <c r="J85" s="11">
        <v>6362</v>
      </c>
      <c r="K85" s="11">
        <v>27936</v>
      </c>
      <c r="L85" s="11">
        <v>313661</v>
      </c>
      <c r="M85" s="11">
        <v>9480</v>
      </c>
      <c r="N85" s="11">
        <v>4163</v>
      </c>
      <c r="O85" s="11">
        <v>47596</v>
      </c>
      <c r="P85" s="11">
        <v>66251</v>
      </c>
      <c r="Q85" s="11">
        <v>370</v>
      </c>
      <c r="R85" s="11">
        <v>118330</v>
      </c>
      <c r="S85" s="11">
        <v>344242</v>
      </c>
      <c r="T85" s="11">
        <v>239054</v>
      </c>
      <c r="U85" s="11">
        <v>314856</v>
      </c>
      <c r="V85" s="11">
        <v>1882</v>
      </c>
      <c r="W85" s="11">
        <v>24096</v>
      </c>
      <c r="X85" s="11">
        <v>274</v>
      </c>
      <c r="Y85" s="11">
        <v>296554</v>
      </c>
      <c r="Z85" s="11">
        <v>1831</v>
      </c>
      <c r="AA85" s="11">
        <v>158631</v>
      </c>
      <c r="AB85" s="11">
        <v>2352</v>
      </c>
      <c r="AC85" s="11">
        <v>50220</v>
      </c>
      <c r="AD85" s="11">
        <v>53574</v>
      </c>
      <c r="AE85" s="11">
        <v>6364</v>
      </c>
      <c r="AF85" s="11">
        <v>26812</v>
      </c>
      <c r="AG85" s="11">
        <v>44652</v>
      </c>
      <c r="AH85" s="11">
        <v>64657</v>
      </c>
      <c r="AI85" s="11">
        <v>56647</v>
      </c>
      <c r="AJ85" s="11">
        <v>103066</v>
      </c>
      <c r="AK85" s="11">
        <v>7876</v>
      </c>
      <c r="AL85" s="12">
        <v>3470</v>
      </c>
    </row>
    <row r="86" spans="1:38" x14ac:dyDescent="0.25">
      <c r="A86" s="2">
        <v>85</v>
      </c>
      <c r="B86" s="3" t="s">
        <v>203</v>
      </c>
      <c r="C86" s="2" t="s">
        <v>204</v>
      </c>
      <c r="D86" s="13">
        <f>_xlfn.XLOOKUP(Table1[[#This Row],[Country / Territory]],[1]!Table9[Country],[1]!Table9[Total Pop],"None",0)</f>
        <v>333852762</v>
      </c>
      <c r="E86" s="13">
        <f>_xlfn.XLOOKUP(Table1[[#This Row],[Country / Territory]],[1]!Table9[Country],[1]!Table9[Total F],"None",0)</f>
        <v>166832441</v>
      </c>
      <c r="F86" s="13">
        <f>_xlfn.XLOOKUP(Table1[[#This Row],[Country / Territory]],[1]!Table9[Country],[1]!Table9[Total M],"None",0)</f>
        <v>167020321</v>
      </c>
      <c r="G86" s="9">
        <v>2422450</v>
      </c>
      <c r="H86" s="9">
        <v>5586</v>
      </c>
      <c r="I86" s="9">
        <v>90719</v>
      </c>
      <c r="J86" s="9">
        <v>18381</v>
      </c>
      <c r="K86" s="9">
        <v>2036</v>
      </c>
      <c r="L86" s="9">
        <v>0</v>
      </c>
      <c r="M86" s="9">
        <v>9760</v>
      </c>
      <c r="N86" s="9">
        <v>21050</v>
      </c>
      <c r="O86" s="9">
        <v>2235</v>
      </c>
      <c r="P86" s="9">
        <v>5894</v>
      </c>
      <c r="Q86" s="9">
        <v>544</v>
      </c>
      <c r="R86" s="9">
        <v>1809</v>
      </c>
      <c r="S86" s="9">
        <v>1003002</v>
      </c>
      <c r="T86" s="9">
        <v>161571</v>
      </c>
      <c r="U86" s="9">
        <v>11746</v>
      </c>
      <c r="V86" s="9">
        <v>10775</v>
      </c>
      <c r="W86" s="9">
        <v>56886</v>
      </c>
      <c r="X86" s="9">
        <v>198</v>
      </c>
      <c r="Y86" s="9">
        <v>11071</v>
      </c>
      <c r="Z86" s="9">
        <v>309</v>
      </c>
      <c r="AA86" s="9">
        <v>608854</v>
      </c>
      <c r="AB86" s="9">
        <v>231</v>
      </c>
      <c r="AC86" s="9">
        <v>54973</v>
      </c>
      <c r="AD86" s="9">
        <v>50214</v>
      </c>
      <c r="AE86" s="9">
        <v>726</v>
      </c>
      <c r="AF86" s="9">
        <v>1575</v>
      </c>
      <c r="AG86" s="9">
        <v>47723</v>
      </c>
      <c r="AH86" s="9">
        <v>96288</v>
      </c>
      <c r="AI86" s="9">
        <v>44142</v>
      </c>
      <c r="AJ86" s="9">
        <v>100145</v>
      </c>
      <c r="AK86" s="9">
        <v>3595</v>
      </c>
      <c r="AL86" s="10">
        <v>412</v>
      </c>
    </row>
    <row r="87" spans="1:38" x14ac:dyDescent="0.25">
      <c r="A87" s="4">
        <v>86</v>
      </c>
      <c r="B87" s="5" t="s">
        <v>205</v>
      </c>
      <c r="C87" s="4" t="s">
        <v>206</v>
      </c>
      <c r="D87" s="13">
        <f>_xlfn.XLOOKUP(Table1[[#This Row],[Country / Territory]],[1]!Table9[Country],[1]!Table9[Total Pop],"None",0)</f>
        <v>389672869</v>
      </c>
      <c r="E87" s="13">
        <f>_xlfn.XLOOKUP(Table1[[#This Row],[Country / Territory]],[1]!Table9[Country],[1]!Table9[Total F],"None",0)</f>
        <v>195935709</v>
      </c>
      <c r="F87" s="13">
        <f>_xlfn.XLOOKUP(Table1[[#This Row],[Country / Territory]],[1]!Table9[Country],[1]!Table9[Total M],"None",0)</f>
        <v>193737160</v>
      </c>
      <c r="G87" s="11">
        <v>2337809</v>
      </c>
      <c r="H87" s="11">
        <v>8966</v>
      </c>
      <c r="I87" s="11">
        <v>28261</v>
      </c>
      <c r="J87" s="11">
        <v>6874</v>
      </c>
      <c r="K87" s="11">
        <v>97605</v>
      </c>
      <c r="L87" s="11">
        <v>442</v>
      </c>
      <c r="M87" s="11">
        <v>11727</v>
      </c>
      <c r="N87" s="11">
        <v>161965</v>
      </c>
      <c r="O87" s="11">
        <v>22395</v>
      </c>
      <c r="P87" s="11">
        <v>17114</v>
      </c>
      <c r="Q87" s="11">
        <v>3010</v>
      </c>
      <c r="R87" s="11">
        <v>24579</v>
      </c>
      <c r="S87" s="11">
        <v>304449</v>
      </c>
      <c r="T87" s="11">
        <v>316820</v>
      </c>
      <c r="U87" s="11">
        <v>159183</v>
      </c>
      <c r="V87" s="11">
        <v>46997</v>
      </c>
      <c r="W87" s="11">
        <v>25845</v>
      </c>
      <c r="X87" s="11">
        <v>1863</v>
      </c>
      <c r="Y87" s="11">
        <v>153754</v>
      </c>
      <c r="Z87" s="11">
        <v>708</v>
      </c>
      <c r="AA87" s="11">
        <v>248339</v>
      </c>
      <c r="AB87" s="11">
        <v>2658</v>
      </c>
      <c r="AC87" s="11">
        <v>104308</v>
      </c>
      <c r="AD87" s="11">
        <v>89654</v>
      </c>
      <c r="AE87" s="11">
        <v>5073</v>
      </c>
      <c r="AF87" s="11">
        <v>91285</v>
      </c>
      <c r="AG87" s="11">
        <v>50375</v>
      </c>
      <c r="AH87" s="11">
        <v>51045</v>
      </c>
      <c r="AI87" s="11">
        <v>111181</v>
      </c>
      <c r="AJ87" s="11">
        <v>185491</v>
      </c>
      <c r="AK87" s="11">
        <v>5502</v>
      </c>
      <c r="AL87" s="12">
        <v>341</v>
      </c>
    </row>
    <row r="88" spans="1:38" x14ac:dyDescent="0.25">
      <c r="A88" s="2">
        <v>87</v>
      </c>
      <c r="B88" s="3" t="s">
        <v>207</v>
      </c>
      <c r="C88" s="2" t="s">
        <v>208</v>
      </c>
      <c r="D88" s="13">
        <f>_xlfn.XLOOKUP(Table1[[#This Row],[Country / Territory]],[1]!Table9[Country],[1]!Table9[Total Pop],"None",0)</f>
        <v>542218647</v>
      </c>
      <c r="E88" s="13">
        <f>_xlfn.XLOOKUP(Table1[[#This Row],[Country / Territory]],[1]!Table9[Country],[1]!Table9[Total F],"None",0)</f>
        <v>268888111</v>
      </c>
      <c r="F88" s="13">
        <f>_xlfn.XLOOKUP(Table1[[#This Row],[Country / Territory]],[1]!Table9[Country],[1]!Table9[Total M],"None",0)</f>
        <v>273330536</v>
      </c>
      <c r="G88" s="9">
        <v>2322242</v>
      </c>
      <c r="H88" s="9">
        <v>13964</v>
      </c>
      <c r="I88" s="9">
        <v>31912</v>
      </c>
      <c r="J88" s="9">
        <v>8546</v>
      </c>
      <c r="K88" s="9">
        <v>5605</v>
      </c>
      <c r="L88" s="9">
        <v>32</v>
      </c>
      <c r="M88" s="9">
        <v>7005</v>
      </c>
      <c r="N88" s="9">
        <v>9409</v>
      </c>
      <c r="O88" s="9">
        <v>5786</v>
      </c>
      <c r="P88" s="9">
        <v>541</v>
      </c>
      <c r="Q88" s="9">
        <v>3186</v>
      </c>
      <c r="R88" s="9">
        <v>3975</v>
      </c>
      <c r="S88" s="9">
        <v>1056981</v>
      </c>
      <c r="T88" s="9">
        <v>76767</v>
      </c>
      <c r="U88" s="9">
        <v>130737</v>
      </c>
      <c r="V88" s="9">
        <v>1464</v>
      </c>
      <c r="W88" s="9">
        <v>9839</v>
      </c>
      <c r="X88" s="9">
        <v>131</v>
      </c>
      <c r="Y88" s="9">
        <v>13311</v>
      </c>
      <c r="Z88" s="9">
        <v>926</v>
      </c>
      <c r="AA88" s="9">
        <v>198726</v>
      </c>
      <c r="AB88" s="9">
        <v>365293</v>
      </c>
      <c r="AC88" s="9">
        <v>41936</v>
      </c>
      <c r="AD88" s="9">
        <v>66362</v>
      </c>
      <c r="AE88" s="9">
        <v>3019</v>
      </c>
      <c r="AF88" s="9">
        <v>4666</v>
      </c>
      <c r="AG88" s="9">
        <v>62105</v>
      </c>
      <c r="AH88" s="9">
        <v>79697</v>
      </c>
      <c r="AI88" s="9">
        <v>48393</v>
      </c>
      <c r="AJ88" s="9">
        <v>64019</v>
      </c>
      <c r="AK88" s="9">
        <v>6676</v>
      </c>
      <c r="AL88" s="10">
        <v>1233</v>
      </c>
    </row>
    <row r="89" spans="1:38" x14ac:dyDescent="0.25">
      <c r="A89" s="4">
        <v>88</v>
      </c>
      <c r="B89" s="5" t="s">
        <v>209</v>
      </c>
      <c r="C89" s="4" t="s">
        <v>210</v>
      </c>
      <c r="D89" s="13">
        <f>_xlfn.XLOOKUP(Table1[[#This Row],[Country / Territory]],[1]!Table9[Country],[1]!Table9[Total Pop],"None",0)</f>
        <v>233019958</v>
      </c>
      <c r="E89" s="13">
        <f>_xlfn.XLOOKUP(Table1[[#This Row],[Country / Territory]],[1]!Table9[Country],[1]!Table9[Total F],"None",0)</f>
        <v>118605406</v>
      </c>
      <c r="F89" s="13">
        <f>_xlfn.XLOOKUP(Table1[[#This Row],[Country / Territory]],[1]!Table9[Country],[1]!Table9[Total M],"None",0)</f>
        <v>114414552</v>
      </c>
      <c r="G89" s="11">
        <v>2293162</v>
      </c>
      <c r="H89" s="11">
        <v>70107</v>
      </c>
      <c r="I89" s="11">
        <v>10881</v>
      </c>
      <c r="J89" s="11">
        <v>2433</v>
      </c>
      <c r="K89" s="11">
        <v>166849</v>
      </c>
      <c r="L89" s="11">
        <v>166774</v>
      </c>
      <c r="M89" s="11">
        <v>8589</v>
      </c>
      <c r="N89" s="11">
        <v>18486</v>
      </c>
      <c r="O89" s="11">
        <v>20434</v>
      </c>
      <c r="P89" s="11">
        <v>120952</v>
      </c>
      <c r="Q89" s="11">
        <v>222</v>
      </c>
      <c r="R89" s="11">
        <v>142094</v>
      </c>
      <c r="S89" s="11">
        <v>185687</v>
      </c>
      <c r="T89" s="11">
        <v>302252</v>
      </c>
      <c r="U89" s="11">
        <v>284275</v>
      </c>
      <c r="V89" s="11">
        <v>1335</v>
      </c>
      <c r="W89" s="11">
        <v>10941</v>
      </c>
      <c r="X89" s="11">
        <v>273</v>
      </c>
      <c r="Y89" s="11">
        <v>224539</v>
      </c>
      <c r="Z89" s="11">
        <v>2227</v>
      </c>
      <c r="AA89" s="11">
        <v>100978</v>
      </c>
      <c r="AB89" s="11">
        <v>41463</v>
      </c>
      <c r="AC89" s="11">
        <v>27540</v>
      </c>
      <c r="AD89" s="11">
        <v>23219</v>
      </c>
      <c r="AE89" s="11">
        <v>5410</v>
      </c>
      <c r="AF89" s="11">
        <v>163526</v>
      </c>
      <c r="AG89" s="11">
        <v>29058</v>
      </c>
      <c r="AH89" s="11">
        <v>38756</v>
      </c>
      <c r="AI89" s="11">
        <v>42206</v>
      </c>
      <c r="AJ89" s="11">
        <v>68747</v>
      </c>
      <c r="AK89" s="11">
        <v>6831</v>
      </c>
      <c r="AL89" s="12">
        <v>6078</v>
      </c>
    </row>
    <row r="90" spans="1:38" x14ac:dyDescent="0.25">
      <c r="A90" s="2">
        <v>89</v>
      </c>
      <c r="B90" s="3" t="s">
        <v>211</v>
      </c>
      <c r="C90" s="2" t="s">
        <v>212</v>
      </c>
      <c r="D90" s="13">
        <f>_xlfn.XLOOKUP(Table1[[#This Row],[Country / Territory]],[1]!Table9[Country],[1]!Table9[Total Pop],"None",0)</f>
        <v>246954222</v>
      </c>
      <c r="E90" s="13">
        <f>_xlfn.XLOOKUP(Table1[[#This Row],[Country / Territory]],[1]!Table9[Country],[1]!Table9[Total F],"None",0)</f>
        <v>126996728</v>
      </c>
      <c r="F90" s="13">
        <f>_xlfn.XLOOKUP(Table1[[#This Row],[Country / Territory]],[1]!Table9[Country],[1]!Table9[Total M],"None",0)</f>
        <v>119957494</v>
      </c>
      <c r="G90" s="9">
        <v>2290891</v>
      </c>
      <c r="H90" s="9">
        <v>1152</v>
      </c>
      <c r="I90" s="9">
        <v>101351</v>
      </c>
      <c r="J90" s="9">
        <v>23665</v>
      </c>
      <c r="K90" s="9">
        <v>239</v>
      </c>
      <c r="L90" s="9">
        <v>0</v>
      </c>
      <c r="M90" s="9">
        <v>2406</v>
      </c>
      <c r="N90" s="9">
        <v>2334</v>
      </c>
      <c r="O90" s="9">
        <v>113</v>
      </c>
      <c r="P90" s="9">
        <v>2005</v>
      </c>
      <c r="Q90" s="9">
        <v>4841</v>
      </c>
      <c r="R90" s="9">
        <v>2251</v>
      </c>
      <c r="S90" s="9">
        <v>1031672</v>
      </c>
      <c r="T90" s="9">
        <v>34197</v>
      </c>
      <c r="U90" s="9">
        <v>5440</v>
      </c>
      <c r="V90" s="9">
        <v>11262</v>
      </c>
      <c r="W90" s="9">
        <v>46764</v>
      </c>
      <c r="X90" s="9">
        <v>336</v>
      </c>
      <c r="Y90" s="9">
        <v>1495</v>
      </c>
      <c r="Z90" s="9">
        <v>923</v>
      </c>
      <c r="AA90" s="9">
        <v>624487</v>
      </c>
      <c r="AB90" s="9">
        <v>30</v>
      </c>
      <c r="AC90" s="9">
        <v>59349</v>
      </c>
      <c r="AD90" s="9">
        <v>56142</v>
      </c>
      <c r="AE90" s="9">
        <v>822</v>
      </c>
      <c r="AF90" s="9">
        <v>40</v>
      </c>
      <c r="AG90" s="9">
        <v>24587</v>
      </c>
      <c r="AH90" s="9">
        <v>85450</v>
      </c>
      <c r="AI90" s="9">
        <v>60850</v>
      </c>
      <c r="AJ90" s="9">
        <v>105037</v>
      </c>
      <c r="AK90" s="9">
        <v>1553</v>
      </c>
      <c r="AL90" s="10">
        <v>98</v>
      </c>
    </row>
    <row r="91" spans="1:38" x14ac:dyDescent="0.25">
      <c r="A91" s="4">
        <v>90</v>
      </c>
      <c r="B91" s="5" t="s">
        <v>213</v>
      </c>
      <c r="C91" s="4" t="s">
        <v>214</v>
      </c>
      <c r="D91" s="13">
        <f>_xlfn.XLOOKUP(Table1[[#This Row],[Country / Territory]],[1]!Table9[Country],[1]!Table9[Total Pop],"None",0)</f>
        <v>256771826</v>
      </c>
      <c r="E91" s="13">
        <f>_xlfn.XLOOKUP(Table1[[#This Row],[Country / Territory]],[1]!Table9[Country],[1]!Table9[Total F],"None",0)</f>
        <v>129301080</v>
      </c>
      <c r="F91" s="13">
        <f>_xlfn.XLOOKUP(Table1[[#This Row],[Country / Territory]],[1]!Table9[Country],[1]!Table9[Total M],"None",0)</f>
        <v>127470746</v>
      </c>
      <c r="G91" s="11">
        <v>2170343</v>
      </c>
      <c r="H91" s="11">
        <v>69978</v>
      </c>
      <c r="I91" s="11">
        <v>13464</v>
      </c>
      <c r="J91" s="11">
        <v>3804</v>
      </c>
      <c r="K91" s="11">
        <v>44748</v>
      </c>
      <c r="L91" s="11">
        <v>316834</v>
      </c>
      <c r="M91" s="11">
        <v>11517</v>
      </c>
      <c r="N91" s="11">
        <v>16162</v>
      </c>
      <c r="O91" s="11">
        <v>34853</v>
      </c>
      <c r="P91" s="11">
        <v>80892</v>
      </c>
      <c r="Q91" s="11">
        <v>261</v>
      </c>
      <c r="R91" s="11">
        <v>79509</v>
      </c>
      <c r="S91" s="11">
        <v>246509</v>
      </c>
      <c r="T91" s="11">
        <v>271088</v>
      </c>
      <c r="U91" s="11">
        <v>321322</v>
      </c>
      <c r="V91" s="11">
        <v>1401</v>
      </c>
      <c r="W91" s="11">
        <v>14955</v>
      </c>
      <c r="X91" s="11">
        <v>122</v>
      </c>
      <c r="Y91" s="11">
        <v>196720</v>
      </c>
      <c r="Z91" s="11">
        <v>1751</v>
      </c>
      <c r="AA91" s="11">
        <v>101713</v>
      </c>
      <c r="AB91" s="11">
        <v>31</v>
      </c>
      <c r="AC91" s="11">
        <v>29925</v>
      </c>
      <c r="AD91" s="11">
        <v>33309</v>
      </c>
      <c r="AE91" s="11">
        <v>5654</v>
      </c>
      <c r="AF91" s="11">
        <v>43399</v>
      </c>
      <c r="AG91" s="11">
        <v>45197</v>
      </c>
      <c r="AH91" s="11">
        <v>44797</v>
      </c>
      <c r="AI91" s="11">
        <v>46718</v>
      </c>
      <c r="AJ91" s="11">
        <v>79638</v>
      </c>
      <c r="AK91" s="11">
        <v>7791</v>
      </c>
      <c r="AL91" s="12">
        <v>6281</v>
      </c>
    </row>
    <row r="92" spans="1:38" x14ac:dyDescent="0.25">
      <c r="A92" s="2">
        <v>91</v>
      </c>
      <c r="B92" s="3" t="s">
        <v>215</v>
      </c>
      <c r="C92" s="2" t="s">
        <v>216</v>
      </c>
      <c r="D92" s="13">
        <f>_xlfn.XLOOKUP(Table1[[#This Row],[Country / Territory]],[1]!Table9[Country],[1]!Table9[Total Pop],"None",0)</f>
        <v>413906689</v>
      </c>
      <c r="E92" s="13">
        <f>_xlfn.XLOOKUP(Table1[[#This Row],[Country / Territory]],[1]!Table9[Country],[1]!Table9[Total F],"None",0)</f>
        <v>207053695</v>
      </c>
      <c r="F92" s="13">
        <f>_xlfn.XLOOKUP(Table1[[#This Row],[Country / Territory]],[1]!Table9[Country],[1]!Table9[Total M],"None",0)</f>
        <v>206852994</v>
      </c>
      <c r="G92" s="9">
        <v>2059371</v>
      </c>
      <c r="H92" s="9">
        <v>6070</v>
      </c>
      <c r="I92" s="9">
        <v>49500</v>
      </c>
      <c r="J92" s="9">
        <v>13047</v>
      </c>
      <c r="K92" s="9">
        <v>29134</v>
      </c>
      <c r="L92" s="9">
        <v>8010</v>
      </c>
      <c r="M92" s="9">
        <v>18924</v>
      </c>
      <c r="N92" s="9">
        <v>69274</v>
      </c>
      <c r="O92" s="9">
        <v>8540</v>
      </c>
      <c r="P92" s="9">
        <v>20616</v>
      </c>
      <c r="Q92" s="9">
        <v>1278</v>
      </c>
      <c r="R92" s="9">
        <v>36910</v>
      </c>
      <c r="S92" s="9">
        <v>443431</v>
      </c>
      <c r="T92" s="9">
        <v>147588</v>
      </c>
      <c r="U92" s="9">
        <v>111655</v>
      </c>
      <c r="V92" s="9">
        <v>12216</v>
      </c>
      <c r="W92" s="9">
        <v>34405</v>
      </c>
      <c r="X92" s="9">
        <v>2368</v>
      </c>
      <c r="Y92" s="9">
        <v>34512</v>
      </c>
      <c r="Z92" s="9">
        <v>309</v>
      </c>
      <c r="AA92" s="9">
        <v>346264</v>
      </c>
      <c r="AB92" s="9">
        <v>100</v>
      </c>
      <c r="AC92" s="9">
        <v>92543</v>
      </c>
      <c r="AD92" s="9">
        <v>124947</v>
      </c>
      <c r="AE92" s="9">
        <v>2357</v>
      </c>
      <c r="AF92" s="9">
        <v>26034</v>
      </c>
      <c r="AG92" s="9">
        <v>113397</v>
      </c>
      <c r="AH92" s="9">
        <v>71754</v>
      </c>
      <c r="AI92" s="9">
        <v>79244</v>
      </c>
      <c r="AJ92" s="9">
        <v>148698</v>
      </c>
      <c r="AK92" s="9">
        <v>5630</v>
      </c>
      <c r="AL92" s="10">
        <v>616</v>
      </c>
    </row>
    <row r="93" spans="1:38" x14ac:dyDescent="0.25">
      <c r="A93" s="4">
        <v>92</v>
      </c>
      <c r="B93" s="5" t="s">
        <v>217</v>
      </c>
      <c r="C93" s="4" t="s">
        <v>218</v>
      </c>
      <c r="D93" s="13">
        <f>_xlfn.XLOOKUP(Table1[[#This Row],[Country / Territory]],[1]!Table9[Country],[1]!Table9[Total Pop],"None",0)</f>
        <v>255842761</v>
      </c>
      <c r="E93" s="13">
        <f>_xlfn.XLOOKUP(Table1[[#This Row],[Country / Territory]],[1]!Table9[Country],[1]!Table9[Total F],"None",0)</f>
        <v>133158753</v>
      </c>
      <c r="F93" s="13">
        <f>_xlfn.XLOOKUP(Table1[[#This Row],[Country / Territory]],[1]!Table9[Country],[1]!Table9[Total M],"None",0)</f>
        <v>122684008</v>
      </c>
      <c r="G93" s="11">
        <v>2028238</v>
      </c>
      <c r="H93" s="11">
        <v>4272</v>
      </c>
      <c r="I93" s="11">
        <v>25190</v>
      </c>
      <c r="J93" s="11">
        <v>7147</v>
      </c>
      <c r="K93" s="11">
        <v>2151</v>
      </c>
      <c r="L93" s="11">
        <v>32</v>
      </c>
      <c r="M93" s="11">
        <v>13279</v>
      </c>
      <c r="N93" s="11">
        <v>19861</v>
      </c>
      <c r="O93" s="11">
        <v>1611</v>
      </c>
      <c r="P93" s="11">
        <v>1152</v>
      </c>
      <c r="Q93" s="11">
        <v>833</v>
      </c>
      <c r="R93" s="11">
        <v>30739</v>
      </c>
      <c r="S93" s="11">
        <v>1026714</v>
      </c>
      <c r="T93" s="11">
        <v>146930</v>
      </c>
      <c r="U93" s="11">
        <v>82492</v>
      </c>
      <c r="V93" s="11">
        <v>6620</v>
      </c>
      <c r="W93" s="11">
        <v>9604</v>
      </c>
      <c r="X93" s="11">
        <v>208</v>
      </c>
      <c r="Y93" s="11">
        <v>17970</v>
      </c>
      <c r="Z93" s="11">
        <v>4232</v>
      </c>
      <c r="AA93" s="11">
        <v>263680</v>
      </c>
      <c r="AB93" s="11">
        <v>5883</v>
      </c>
      <c r="AC93" s="11">
        <v>44141</v>
      </c>
      <c r="AD93" s="11">
        <v>29145</v>
      </c>
      <c r="AE93" s="11">
        <v>2991</v>
      </c>
      <c r="AF93" s="11">
        <v>1653</v>
      </c>
      <c r="AG93" s="11">
        <v>24840</v>
      </c>
      <c r="AH93" s="11">
        <v>57915</v>
      </c>
      <c r="AI93" s="11">
        <v>78289</v>
      </c>
      <c r="AJ93" s="11">
        <v>102820</v>
      </c>
      <c r="AK93" s="11">
        <v>14459</v>
      </c>
      <c r="AL93" s="12">
        <v>1385</v>
      </c>
    </row>
    <row r="94" spans="1:38" x14ac:dyDescent="0.25">
      <c r="A94" s="2">
        <v>93</v>
      </c>
      <c r="B94" s="3" t="s">
        <v>219</v>
      </c>
      <c r="C94" s="2" t="s">
        <v>220</v>
      </c>
      <c r="D94" s="13">
        <f>_xlfn.XLOOKUP(Table1[[#This Row],[Country / Territory]],[1]!Table9[Country],[1]!Table9[Total Pop],"None",0)</f>
        <v>165293010</v>
      </c>
      <c r="E94" s="13">
        <f>_xlfn.XLOOKUP(Table1[[#This Row],[Country / Territory]],[1]!Table9[Country],[1]!Table9[Total F],"None",0)</f>
        <v>83374592</v>
      </c>
      <c r="F94" s="13">
        <f>_xlfn.XLOOKUP(Table1[[#This Row],[Country / Territory]],[1]!Table9[Country],[1]!Table9[Total M],"None",0)</f>
        <v>81918418</v>
      </c>
      <c r="G94" s="9">
        <v>1967352</v>
      </c>
      <c r="H94" s="9">
        <v>65418</v>
      </c>
      <c r="I94" s="9">
        <v>10415</v>
      </c>
      <c r="J94" s="9">
        <v>2970</v>
      </c>
      <c r="K94" s="9">
        <v>59264</v>
      </c>
      <c r="L94" s="9">
        <v>394491</v>
      </c>
      <c r="M94" s="9">
        <v>9389</v>
      </c>
      <c r="N94" s="9">
        <v>2659</v>
      </c>
      <c r="O94" s="9">
        <v>33292</v>
      </c>
      <c r="P94" s="9">
        <v>63856</v>
      </c>
      <c r="Q94" s="9">
        <v>171</v>
      </c>
      <c r="R94" s="9">
        <v>83713</v>
      </c>
      <c r="S94" s="9">
        <v>204497</v>
      </c>
      <c r="T94" s="9">
        <v>261440</v>
      </c>
      <c r="U94" s="9">
        <v>222639</v>
      </c>
      <c r="V94" s="9">
        <v>989</v>
      </c>
      <c r="W94" s="9">
        <v>9473</v>
      </c>
      <c r="X94" s="9">
        <v>1564</v>
      </c>
      <c r="Y94" s="9">
        <v>164175</v>
      </c>
      <c r="Z94" s="9">
        <v>1236</v>
      </c>
      <c r="AA94" s="9">
        <v>75543</v>
      </c>
      <c r="AB94" s="9">
        <v>21270</v>
      </c>
      <c r="AC94" s="9">
        <v>22070</v>
      </c>
      <c r="AD94" s="9">
        <v>23124</v>
      </c>
      <c r="AE94" s="9">
        <v>4730</v>
      </c>
      <c r="AF94" s="9">
        <v>57962</v>
      </c>
      <c r="AG94" s="9">
        <v>33622</v>
      </c>
      <c r="AH94" s="9">
        <v>36038</v>
      </c>
      <c r="AI94" s="9">
        <v>32012</v>
      </c>
      <c r="AJ94" s="9">
        <v>56378</v>
      </c>
      <c r="AK94" s="9">
        <v>6096</v>
      </c>
      <c r="AL94" s="10">
        <v>6856</v>
      </c>
    </row>
    <row r="95" spans="1:38" x14ac:dyDescent="0.25">
      <c r="A95" s="4">
        <v>94</v>
      </c>
      <c r="B95" s="5" t="s">
        <v>221</v>
      </c>
      <c r="C95" s="4" t="s">
        <v>222</v>
      </c>
      <c r="D95" s="13">
        <f>_xlfn.XLOOKUP(Table1[[#This Row],[Country / Territory]],[1]!Table9[Country],[1]!Table9[Total Pop],"None",0)</f>
        <v>122150120</v>
      </c>
      <c r="E95" s="13">
        <f>_xlfn.XLOOKUP(Table1[[#This Row],[Country / Territory]],[1]!Table9[Country],[1]!Table9[Total F],"None",0)</f>
        <v>61328589</v>
      </c>
      <c r="F95" s="13">
        <f>_xlfn.XLOOKUP(Table1[[#This Row],[Country / Territory]],[1]!Table9[Country],[1]!Table9[Total M],"None",0)</f>
        <v>60821531</v>
      </c>
      <c r="G95" s="11">
        <v>1875279</v>
      </c>
      <c r="H95" s="11">
        <v>31409</v>
      </c>
      <c r="I95" s="11">
        <v>3533</v>
      </c>
      <c r="J95" s="11">
        <v>1235</v>
      </c>
      <c r="K95" s="11">
        <v>38999</v>
      </c>
      <c r="L95" s="11">
        <v>134706</v>
      </c>
      <c r="M95" s="11">
        <v>9175</v>
      </c>
      <c r="N95" s="11">
        <v>11668</v>
      </c>
      <c r="O95" s="11">
        <v>25629</v>
      </c>
      <c r="P95" s="11">
        <v>279310</v>
      </c>
      <c r="Q95" s="11">
        <v>279</v>
      </c>
      <c r="R95" s="11">
        <v>226165</v>
      </c>
      <c r="S95" s="11">
        <v>166728</v>
      </c>
      <c r="T95" s="11">
        <v>178957</v>
      </c>
      <c r="U95" s="11">
        <v>154874</v>
      </c>
      <c r="V95" s="11">
        <v>1460</v>
      </c>
      <c r="W95" s="11">
        <v>15116</v>
      </c>
      <c r="X95" s="11">
        <v>24</v>
      </c>
      <c r="Y95" s="11">
        <v>233318</v>
      </c>
      <c r="Z95" s="11">
        <v>1214</v>
      </c>
      <c r="AA95" s="11">
        <v>63736</v>
      </c>
      <c r="AB95" s="11">
        <v>14808</v>
      </c>
      <c r="AC95" s="11">
        <v>23653</v>
      </c>
      <c r="AD95" s="11">
        <v>15374</v>
      </c>
      <c r="AE95" s="11">
        <v>4131</v>
      </c>
      <c r="AF95" s="11">
        <v>37846</v>
      </c>
      <c r="AG95" s="11">
        <v>72709</v>
      </c>
      <c r="AH95" s="11">
        <v>39544</v>
      </c>
      <c r="AI95" s="11">
        <v>27344</v>
      </c>
      <c r="AJ95" s="11">
        <v>53671</v>
      </c>
      <c r="AK95" s="11">
        <v>4625</v>
      </c>
      <c r="AL95" s="12">
        <v>4039</v>
      </c>
    </row>
    <row r="96" spans="1:38" x14ac:dyDescent="0.25">
      <c r="A96" s="2">
        <v>95</v>
      </c>
      <c r="B96" s="3" t="s">
        <v>223</v>
      </c>
      <c r="C96" s="2" t="s">
        <v>224</v>
      </c>
      <c r="D96" s="13">
        <f>_xlfn.XLOOKUP(Table1[[#This Row],[Country / Territory]],[1]!Table9[Country],[1]!Table9[Total Pop],"None",0)</f>
        <v>280232379</v>
      </c>
      <c r="E96" s="13">
        <f>_xlfn.XLOOKUP(Table1[[#This Row],[Country / Territory]],[1]!Table9[Country],[1]!Table9[Total F],"None",0)</f>
        <v>139076172</v>
      </c>
      <c r="F96" s="13">
        <f>_xlfn.XLOOKUP(Table1[[#This Row],[Country / Territory]],[1]!Table9[Country],[1]!Table9[Total M],"None",0)</f>
        <v>141156207</v>
      </c>
      <c r="G96" s="9">
        <v>1832360</v>
      </c>
      <c r="H96" s="9">
        <v>8475</v>
      </c>
      <c r="I96" s="9">
        <v>24922</v>
      </c>
      <c r="J96" s="9">
        <v>9852</v>
      </c>
      <c r="K96" s="9">
        <v>39396</v>
      </c>
      <c r="L96" s="9">
        <v>787</v>
      </c>
      <c r="M96" s="9">
        <v>17931</v>
      </c>
      <c r="N96" s="9">
        <v>17062</v>
      </c>
      <c r="O96" s="9">
        <v>20557</v>
      </c>
      <c r="P96" s="9">
        <v>18229</v>
      </c>
      <c r="Q96" s="9">
        <v>1092</v>
      </c>
      <c r="R96" s="9">
        <v>80073</v>
      </c>
      <c r="S96" s="9">
        <v>336227</v>
      </c>
      <c r="T96" s="9">
        <v>224508</v>
      </c>
      <c r="U96" s="9">
        <v>155501</v>
      </c>
      <c r="V96" s="9">
        <v>8816</v>
      </c>
      <c r="W96" s="9">
        <v>17950</v>
      </c>
      <c r="X96" s="9">
        <v>1172</v>
      </c>
      <c r="Y96" s="9">
        <v>45190</v>
      </c>
      <c r="Z96" s="9">
        <v>669</v>
      </c>
      <c r="AA96" s="9">
        <v>273812</v>
      </c>
      <c r="AB96" s="9">
        <v>25</v>
      </c>
      <c r="AC96" s="9">
        <v>69124</v>
      </c>
      <c r="AD96" s="9">
        <v>78087</v>
      </c>
      <c r="AE96" s="9">
        <v>2843</v>
      </c>
      <c r="AF96" s="9">
        <v>36918</v>
      </c>
      <c r="AG96" s="9">
        <v>58489</v>
      </c>
      <c r="AH96" s="9">
        <v>76607</v>
      </c>
      <c r="AI96" s="9">
        <v>68986</v>
      </c>
      <c r="AJ96" s="9">
        <v>131926</v>
      </c>
      <c r="AK96" s="9">
        <v>6173</v>
      </c>
      <c r="AL96" s="10">
        <v>961</v>
      </c>
    </row>
    <row r="97" spans="1:38" x14ac:dyDescent="0.25">
      <c r="A97" s="4">
        <v>96</v>
      </c>
      <c r="B97" s="5" t="s">
        <v>225</v>
      </c>
      <c r="C97" s="4" t="s">
        <v>226</v>
      </c>
      <c r="D97" s="13">
        <f>_xlfn.XLOOKUP(Table1[[#This Row],[Country / Territory]],[1]!Table9[Country],[1]!Table9[Total Pop],"None",0)</f>
        <v>226278857</v>
      </c>
      <c r="E97" s="13">
        <f>_xlfn.XLOOKUP(Table1[[#This Row],[Country / Territory]],[1]!Table9[Country],[1]!Table9[Total F],"None",0)</f>
        <v>115156786</v>
      </c>
      <c r="F97" s="13">
        <f>_xlfn.XLOOKUP(Table1[[#This Row],[Country / Territory]],[1]!Table9[Country],[1]!Table9[Total M],"None",0)</f>
        <v>111122071</v>
      </c>
      <c r="G97" s="11">
        <v>1805382</v>
      </c>
      <c r="H97" s="11">
        <v>1639</v>
      </c>
      <c r="I97" s="11">
        <v>110105</v>
      </c>
      <c r="J97" s="11">
        <v>21919</v>
      </c>
      <c r="K97" s="11">
        <v>2181</v>
      </c>
      <c r="L97" s="11">
        <v>0</v>
      </c>
      <c r="M97" s="11">
        <v>1957</v>
      </c>
      <c r="N97" s="11">
        <v>2354</v>
      </c>
      <c r="O97" s="11">
        <v>138</v>
      </c>
      <c r="P97" s="11">
        <v>2901</v>
      </c>
      <c r="Q97" s="11">
        <v>7601</v>
      </c>
      <c r="R97" s="11">
        <v>1791</v>
      </c>
      <c r="S97" s="11">
        <v>722512</v>
      </c>
      <c r="T97" s="11">
        <v>59500</v>
      </c>
      <c r="U97" s="11">
        <v>5219</v>
      </c>
      <c r="V97" s="11">
        <v>7984</v>
      </c>
      <c r="W97" s="11">
        <v>43897</v>
      </c>
      <c r="X97" s="11">
        <v>350</v>
      </c>
      <c r="Y97" s="11">
        <v>4115</v>
      </c>
      <c r="Z97" s="11">
        <v>329</v>
      </c>
      <c r="AA97" s="11">
        <v>516815</v>
      </c>
      <c r="AB97" s="11">
        <v>24</v>
      </c>
      <c r="AC97" s="11">
        <v>45284</v>
      </c>
      <c r="AD97" s="11">
        <v>39494</v>
      </c>
      <c r="AE97" s="11">
        <v>314</v>
      </c>
      <c r="AF97" s="11">
        <v>1251</v>
      </c>
      <c r="AG97" s="11">
        <v>16295</v>
      </c>
      <c r="AH97" s="11">
        <v>80707</v>
      </c>
      <c r="AI97" s="11">
        <v>30449</v>
      </c>
      <c r="AJ97" s="11">
        <v>76721</v>
      </c>
      <c r="AK97" s="11">
        <v>1354</v>
      </c>
      <c r="AL97" s="12">
        <v>182</v>
      </c>
    </row>
    <row r="98" spans="1:38" x14ac:dyDescent="0.25">
      <c r="A98" s="2">
        <v>97</v>
      </c>
      <c r="B98" s="3" t="s">
        <v>227</v>
      </c>
      <c r="C98" s="2" t="s">
        <v>228</v>
      </c>
      <c r="D98" s="13">
        <f>_xlfn.XLOOKUP(Table1[[#This Row],[Country / Territory]],[1]!Table9[Country],[1]!Table9[Total Pop],"None",0)</f>
        <v>163225921</v>
      </c>
      <c r="E98" s="13">
        <f>_xlfn.XLOOKUP(Table1[[#This Row],[Country / Territory]],[1]!Table9[Country],[1]!Table9[Total F],"None",0)</f>
        <v>82420759</v>
      </c>
      <c r="F98" s="13">
        <f>_xlfn.XLOOKUP(Table1[[#This Row],[Country / Territory]],[1]!Table9[Country],[1]!Table9[Total M],"None",0)</f>
        <v>80805162</v>
      </c>
      <c r="G98" s="9">
        <v>1619397</v>
      </c>
      <c r="H98" s="9">
        <v>1746</v>
      </c>
      <c r="I98" s="9">
        <v>65642</v>
      </c>
      <c r="J98" s="9">
        <v>13120</v>
      </c>
      <c r="K98" s="9">
        <v>2943</v>
      </c>
      <c r="L98" s="9">
        <v>0</v>
      </c>
      <c r="M98" s="9">
        <v>1267</v>
      </c>
      <c r="N98" s="9">
        <v>2031</v>
      </c>
      <c r="O98" s="9">
        <v>85</v>
      </c>
      <c r="P98" s="9">
        <v>1493</v>
      </c>
      <c r="Q98" s="9">
        <v>5936</v>
      </c>
      <c r="R98" s="9">
        <v>1279</v>
      </c>
      <c r="S98" s="9">
        <v>579329</v>
      </c>
      <c r="T98" s="9">
        <v>63979</v>
      </c>
      <c r="U98" s="9">
        <v>4304</v>
      </c>
      <c r="V98" s="9">
        <v>19898</v>
      </c>
      <c r="W98" s="9">
        <v>27358</v>
      </c>
      <c r="X98" s="9">
        <v>13</v>
      </c>
      <c r="Y98" s="9">
        <v>6968</v>
      </c>
      <c r="Z98" s="9">
        <v>426</v>
      </c>
      <c r="AA98" s="9">
        <v>505940</v>
      </c>
      <c r="AB98" s="9">
        <v>30</v>
      </c>
      <c r="AC98" s="9">
        <v>37380</v>
      </c>
      <c r="AD98" s="9">
        <v>24236</v>
      </c>
      <c r="AE98" s="9">
        <v>381</v>
      </c>
      <c r="AF98" s="9">
        <v>1308</v>
      </c>
      <c r="AG98" s="9">
        <v>14209</v>
      </c>
      <c r="AH98" s="9">
        <v>121567</v>
      </c>
      <c r="AI98" s="9">
        <v>30387</v>
      </c>
      <c r="AJ98" s="9">
        <v>83455</v>
      </c>
      <c r="AK98" s="9">
        <v>2612</v>
      </c>
      <c r="AL98" s="10">
        <v>75</v>
      </c>
    </row>
    <row r="99" spans="1:38" x14ac:dyDescent="0.25">
      <c r="A99" s="4">
        <v>98</v>
      </c>
      <c r="B99" s="5" t="s">
        <v>229</v>
      </c>
      <c r="C99" s="4" t="s">
        <v>230</v>
      </c>
      <c r="D99" s="13">
        <f>_xlfn.XLOOKUP(Table1[[#This Row],[Country / Territory]],[1]!Table9[Country],[1]!Table9[Total Pop],"None",0)</f>
        <v>122750233</v>
      </c>
      <c r="E99" s="13">
        <f>_xlfn.XLOOKUP(Table1[[#This Row],[Country / Territory]],[1]!Table9[Country],[1]!Table9[Total F],"None",0)</f>
        <v>66022366</v>
      </c>
      <c r="F99" s="13">
        <f>_xlfn.XLOOKUP(Table1[[#This Row],[Country / Territory]],[1]!Table9[Country],[1]!Table9[Total M],"None",0)</f>
        <v>56727867</v>
      </c>
      <c r="G99" s="11">
        <v>1611980</v>
      </c>
      <c r="H99" s="11">
        <v>1303</v>
      </c>
      <c r="I99" s="11">
        <v>40267</v>
      </c>
      <c r="J99" s="11">
        <v>8453</v>
      </c>
      <c r="K99" s="11">
        <v>244</v>
      </c>
      <c r="L99" s="11">
        <v>12</v>
      </c>
      <c r="M99" s="11">
        <v>5814</v>
      </c>
      <c r="N99" s="11">
        <v>6198</v>
      </c>
      <c r="O99" s="11">
        <v>617</v>
      </c>
      <c r="P99" s="11">
        <v>377</v>
      </c>
      <c r="Q99" s="11">
        <v>582</v>
      </c>
      <c r="R99" s="11">
        <v>9292</v>
      </c>
      <c r="S99" s="11">
        <v>1018279</v>
      </c>
      <c r="T99" s="11">
        <v>28699</v>
      </c>
      <c r="U99" s="11">
        <v>25580</v>
      </c>
      <c r="V99" s="11">
        <v>2080</v>
      </c>
      <c r="W99" s="11">
        <v>9228</v>
      </c>
      <c r="X99" s="11">
        <v>158</v>
      </c>
      <c r="Y99" s="11">
        <v>1786</v>
      </c>
      <c r="Z99" s="11">
        <v>878</v>
      </c>
      <c r="AA99" s="11">
        <v>223706</v>
      </c>
      <c r="AB99" s="11">
        <v>4142</v>
      </c>
      <c r="AC99" s="11">
        <v>31656</v>
      </c>
      <c r="AD99" s="11">
        <v>16025</v>
      </c>
      <c r="AE99" s="11">
        <v>1352</v>
      </c>
      <c r="AF99" s="11">
        <v>81</v>
      </c>
      <c r="AG99" s="11">
        <v>23007</v>
      </c>
      <c r="AH99" s="11">
        <v>34752</v>
      </c>
      <c r="AI99" s="11">
        <v>48012</v>
      </c>
      <c r="AJ99" s="11">
        <v>62230</v>
      </c>
      <c r="AK99" s="11">
        <v>6921</v>
      </c>
      <c r="AL99" s="12">
        <v>249</v>
      </c>
    </row>
    <row r="100" spans="1:38" x14ac:dyDescent="0.25">
      <c r="A100" s="2">
        <v>99</v>
      </c>
      <c r="B100" s="3" t="s">
        <v>231</v>
      </c>
      <c r="C100" s="2" t="s">
        <v>232</v>
      </c>
      <c r="D100" s="13">
        <f>_xlfn.XLOOKUP(Table1[[#This Row],[Country / Territory]],[1]!Table9[Country],[1]!Table9[Total Pop],"None",0)</f>
        <v>161484777</v>
      </c>
      <c r="E100" s="13">
        <f>_xlfn.XLOOKUP(Table1[[#This Row],[Country / Territory]],[1]!Table9[Country],[1]!Table9[Total F],"None",0)</f>
        <v>82860453</v>
      </c>
      <c r="F100" s="13">
        <f>_xlfn.XLOOKUP(Table1[[#This Row],[Country / Territory]],[1]!Table9[Country],[1]!Table9[Total M],"None",0)</f>
        <v>78624324</v>
      </c>
      <c r="G100" s="9">
        <v>1576884</v>
      </c>
      <c r="H100" s="9">
        <v>868</v>
      </c>
      <c r="I100" s="9">
        <v>43798</v>
      </c>
      <c r="J100" s="9">
        <v>9216</v>
      </c>
      <c r="K100" s="9">
        <v>224</v>
      </c>
      <c r="L100" s="9">
        <v>0</v>
      </c>
      <c r="M100" s="9">
        <v>4982</v>
      </c>
      <c r="N100" s="9">
        <v>4769</v>
      </c>
      <c r="O100" s="9">
        <v>154</v>
      </c>
      <c r="P100" s="9">
        <v>127</v>
      </c>
      <c r="Q100" s="9">
        <v>952</v>
      </c>
      <c r="R100" s="9">
        <v>1831</v>
      </c>
      <c r="S100" s="9">
        <v>818968</v>
      </c>
      <c r="T100" s="9">
        <v>60630</v>
      </c>
      <c r="U100" s="9">
        <v>6883</v>
      </c>
      <c r="V100" s="9">
        <v>5610</v>
      </c>
      <c r="W100" s="9">
        <v>24921</v>
      </c>
      <c r="X100" s="9">
        <v>102</v>
      </c>
      <c r="Y100" s="9">
        <v>492</v>
      </c>
      <c r="Z100" s="9">
        <v>3807</v>
      </c>
      <c r="AA100" s="9">
        <v>355136</v>
      </c>
      <c r="AB100" s="9">
        <v>7</v>
      </c>
      <c r="AC100" s="9">
        <v>23085</v>
      </c>
      <c r="AD100" s="9">
        <v>20573</v>
      </c>
      <c r="AE100" s="9">
        <v>1045</v>
      </c>
      <c r="AF100" s="9">
        <v>157</v>
      </c>
      <c r="AG100" s="9">
        <v>21269</v>
      </c>
      <c r="AH100" s="9">
        <v>31495</v>
      </c>
      <c r="AI100" s="9">
        <v>49822</v>
      </c>
      <c r="AJ100" s="9">
        <v>83803</v>
      </c>
      <c r="AK100" s="9">
        <v>2082</v>
      </c>
      <c r="AL100" s="10">
        <v>76</v>
      </c>
    </row>
    <row r="101" spans="1:38" x14ac:dyDescent="0.25">
      <c r="A101" s="4">
        <v>100</v>
      </c>
      <c r="B101" s="5" t="s">
        <v>233</v>
      </c>
      <c r="C101" s="4" t="s">
        <v>234</v>
      </c>
      <c r="D101" s="13">
        <f>_xlfn.XLOOKUP(Table1[[#This Row],[Country / Territory]],[1]!Table9[Country],[1]!Table9[Total Pop],"None",0)</f>
        <v>273293672</v>
      </c>
      <c r="E101" s="13">
        <f>_xlfn.XLOOKUP(Table1[[#This Row],[Country / Territory]],[1]!Table9[Country],[1]!Table9[Total F],"None",0)</f>
        <v>136726798</v>
      </c>
      <c r="F101" s="13">
        <f>_xlfn.XLOOKUP(Table1[[#This Row],[Country / Territory]],[1]!Table9[Country],[1]!Table9[Total M],"None",0)</f>
        <v>136566874</v>
      </c>
      <c r="G101" s="11">
        <v>1550151</v>
      </c>
      <c r="H101" s="11">
        <v>10923</v>
      </c>
      <c r="I101" s="11">
        <v>34476</v>
      </c>
      <c r="J101" s="11">
        <v>8007</v>
      </c>
      <c r="K101" s="11">
        <v>17100</v>
      </c>
      <c r="L101" s="11">
        <v>556</v>
      </c>
      <c r="M101" s="11">
        <v>8181</v>
      </c>
      <c r="N101" s="11">
        <v>44560</v>
      </c>
      <c r="O101" s="11">
        <v>6423</v>
      </c>
      <c r="P101" s="11">
        <v>69145</v>
      </c>
      <c r="Q101" s="11">
        <v>667</v>
      </c>
      <c r="R101" s="11">
        <v>23417</v>
      </c>
      <c r="S101" s="11">
        <v>502583</v>
      </c>
      <c r="T101" s="11">
        <v>58854</v>
      </c>
      <c r="U101" s="11">
        <v>130457</v>
      </c>
      <c r="V101" s="11">
        <v>3018</v>
      </c>
      <c r="W101" s="11">
        <v>15690</v>
      </c>
      <c r="X101" s="11">
        <v>1461</v>
      </c>
      <c r="Y101" s="11">
        <v>41343</v>
      </c>
      <c r="Z101" s="11">
        <v>279</v>
      </c>
      <c r="AA101" s="11">
        <v>205434</v>
      </c>
      <c r="AB101" s="11">
        <v>16</v>
      </c>
      <c r="AC101" s="11">
        <v>53725</v>
      </c>
      <c r="AD101" s="11">
        <v>42605</v>
      </c>
      <c r="AE101" s="11">
        <v>1298</v>
      </c>
      <c r="AF101" s="11">
        <v>16460</v>
      </c>
      <c r="AG101" s="11">
        <v>67010</v>
      </c>
      <c r="AH101" s="11">
        <v>40480</v>
      </c>
      <c r="AI101" s="11">
        <v>58487</v>
      </c>
      <c r="AJ101" s="11">
        <v>82139</v>
      </c>
      <c r="AK101" s="11">
        <v>4366</v>
      </c>
      <c r="AL101" s="12">
        <v>991</v>
      </c>
    </row>
    <row r="102" spans="1:38" x14ac:dyDescent="0.25">
      <c r="A102" s="2">
        <v>101</v>
      </c>
      <c r="B102" s="3" t="s">
        <v>235</v>
      </c>
      <c r="C102" s="2" t="s">
        <v>236</v>
      </c>
      <c r="D102" s="13">
        <f>_xlfn.XLOOKUP(Table1[[#This Row],[Country / Territory]],[1]!Table9[Country],[1]!Table9[Total Pop],"None",0)</f>
        <v>305839960</v>
      </c>
      <c r="E102" s="13">
        <f>_xlfn.XLOOKUP(Table1[[#This Row],[Country / Territory]],[1]!Table9[Country],[1]!Table9[Total F],"None",0)</f>
        <v>152124395</v>
      </c>
      <c r="F102" s="13">
        <f>_xlfn.XLOOKUP(Table1[[#This Row],[Country / Territory]],[1]!Table9[Country],[1]!Table9[Total M],"None",0)</f>
        <v>153715565</v>
      </c>
      <c r="G102" s="9">
        <v>1525867</v>
      </c>
      <c r="H102" s="9">
        <v>3880</v>
      </c>
      <c r="I102" s="9">
        <v>46040</v>
      </c>
      <c r="J102" s="9">
        <v>9358</v>
      </c>
      <c r="K102" s="9">
        <v>1057</v>
      </c>
      <c r="L102" s="9">
        <v>0</v>
      </c>
      <c r="M102" s="9">
        <v>6117</v>
      </c>
      <c r="N102" s="9">
        <v>2721</v>
      </c>
      <c r="O102" s="9">
        <v>3357</v>
      </c>
      <c r="P102" s="9">
        <v>2289</v>
      </c>
      <c r="Q102" s="9">
        <v>2988</v>
      </c>
      <c r="R102" s="9">
        <v>4740</v>
      </c>
      <c r="S102" s="9">
        <v>769978</v>
      </c>
      <c r="T102" s="9">
        <v>53421</v>
      </c>
      <c r="U102" s="9">
        <v>79918</v>
      </c>
      <c r="V102" s="9">
        <v>843</v>
      </c>
      <c r="W102" s="9">
        <v>11250</v>
      </c>
      <c r="X102" s="9">
        <v>95</v>
      </c>
      <c r="Y102" s="9">
        <v>4256</v>
      </c>
      <c r="Z102" s="9">
        <v>241</v>
      </c>
      <c r="AA102" s="9">
        <v>205035</v>
      </c>
      <c r="AB102" s="9">
        <v>489</v>
      </c>
      <c r="AC102" s="9">
        <v>32349</v>
      </c>
      <c r="AD102" s="9">
        <v>53081</v>
      </c>
      <c r="AE102" s="9">
        <v>3064</v>
      </c>
      <c r="AF102" s="9">
        <v>913</v>
      </c>
      <c r="AG102" s="9">
        <v>76230</v>
      </c>
      <c r="AH102" s="9">
        <v>61408</v>
      </c>
      <c r="AI102" s="9">
        <v>30958</v>
      </c>
      <c r="AJ102" s="9">
        <v>49677</v>
      </c>
      <c r="AK102" s="9">
        <v>7278</v>
      </c>
      <c r="AL102" s="10">
        <v>2836</v>
      </c>
    </row>
    <row r="103" spans="1:38" x14ac:dyDescent="0.25">
      <c r="A103" s="4">
        <v>102</v>
      </c>
      <c r="B103" s="5" t="s">
        <v>237</v>
      </c>
      <c r="C103" s="4" t="s">
        <v>238</v>
      </c>
      <c r="D103" s="13">
        <f>_xlfn.XLOOKUP(Table1[[#This Row],[Country / Territory]],[1]!Table9[Country],[1]!Table9[Total Pop],"None",0)</f>
        <v>130786099</v>
      </c>
      <c r="E103" s="13">
        <f>_xlfn.XLOOKUP(Table1[[#This Row],[Country / Territory]],[1]!Table9[Country],[1]!Table9[Total F],"None",0)</f>
        <v>67905932</v>
      </c>
      <c r="F103" s="13">
        <f>_xlfn.XLOOKUP(Table1[[#This Row],[Country / Territory]],[1]!Table9[Country],[1]!Table9[Total M],"None",0)</f>
        <v>62880167</v>
      </c>
      <c r="G103" s="11">
        <v>1519071</v>
      </c>
      <c r="H103" s="11">
        <v>802</v>
      </c>
      <c r="I103" s="11">
        <v>43338</v>
      </c>
      <c r="J103" s="11">
        <v>11258</v>
      </c>
      <c r="K103" s="11">
        <v>91</v>
      </c>
      <c r="L103" s="11">
        <v>0</v>
      </c>
      <c r="M103" s="11">
        <v>3119</v>
      </c>
      <c r="N103" s="11">
        <v>3029</v>
      </c>
      <c r="O103" s="11">
        <v>128</v>
      </c>
      <c r="P103" s="11">
        <v>302</v>
      </c>
      <c r="Q103" s="11">
        <v>1914</v>
      </c>
      <c r="R103" s="11">
        <v>4843</v>
      </c>
      <c r="S103" s="11">
        <v>750842</v>
      </c>
      <c r="T103" s="11">
        <v>26059</v>
      </c>
      <c r="U103" s="11">
        <v>4701</v>
      </c>
      <c r="V103" s="11">
        <v>7910</v>
      </c>
      <c r="W103" s="11">
        <v>28210</v>
      </c>
      <c r="X103" s="11">
        <v>13</v>
      </c>
      <c r="Y103" s="11">
        <v>550</v>
      </c>
      <c r="Z103" s="11">
        <v>1041</v>
      </c>
      <c r="AA103" s="11">
        <v>381548</v>
      </c>
      <c r="AB103" s="11">
        <v>7911</v>
      </c>
      <c r="AC103" s="11">
        <v>30633</v>
      </c>
      <c r="AD103" s="11">
        <v>21218</v>
      </c>
      <c r="AE103" s="11">
        <v>847</v>
      </c>
      <c r="AF103" s="11">
        <v>30</v>
      </c>
      <c r="AG103" s="11">
        <v>18995</v>
      </c>
      <c r="AH103" s="11">
        <v>46442</v>
      </c>
      <c r="AI103" s="11">
        <v>45633</v>
      </c>
      <c r="AJ103" s="11">
        <v>76052</v>
      </c>
      <c r="AK103" s="11">
        <v>1567</v>
      </c>
      <c r="AL103" s="12">
        <v>45</v>
      </c>
    </row>
    <row r="104" spans="1:38" x14ac:dyDescent="0.25">
      <c r="A104" s="2">
        <v>103</v>
      </c>
      <c r="B104" s="3" t="s">
        <v>239</v>
      </c>
      <c r="C104" s="2" t="s">
        <v>240</v>
      </c>
      <c r="D104" s="13">
        <f>_xlfn.XLOOKUP(Table1[[#This Row],[Country / Territory]],[1]!Table9[Country],[1]!Table9[Total Pop],"None",0)</f>
        <v>178205085</v>
      </c>
      <c r="E104" s="13">
        <f>_xlfn.XLOOKUP(Table1[[#This Row],[Country / Territory]],[1]!Table9[Country],[1]!Table9[Total F],"None",0)</f>
        <v>89108598</v>
      </c>
      <c r="F104" s="13">
        <f>_xlfn.XLOOKUP(Table1[[#This Row],[Country / Territory]],[1]!Table9[Country],[1]!Table9[Total M],"None",0)</f>
        <v>89096487</v>
      </c>
      <c r="G104" s="9">
        <v>1457783</v>
      </c>
      <c r="H104" s="9">
        <v>26855</v>
      </c>
      <c r="I104" s="9">
        <v>7137</v>
      </c>
      <c r="J104" s="9">
        <v>1965</v>
      </c>
      <c r="K104" s="9">
        <v>15414</v>
      </c>
      <c r="L104" s="9">
        <v>160123</v>
      </c>
      <c r="M104" s="9">
        <v>5130</v>
      </c>
      <c r="N104" s="9">
        <v>11226</v>
      </c>
      <c r="O104" s="9">
        <v>18494</v>
      </c>
      <c r="P104" s="9">
        <v>179708</v>
      </c>
      <c r="Q104" s="9">
        <v>281</v>
      </c>
      <c r="R104" s="9">
        <v>62009</v>
      </c>
      <c r="S104" s="9">
        <v>163134</v>
      </c>
      <c r="T104" s="9">
        <v>132028</v>
      </c>
      <c r="U104" s="9">
        <v>156118</v>
      </c>
      <c r="V104" s="9">
        <v>1034</v>
      </c>
      <c r="W104" s="9">
        <v>11797</v>
      </c>
      <c r="X104" s="9">
        <v>72</v>
      </c>
      <c r="Y104" s="9">
        <v>224470</v>
      </c>
      <c r="Z104" s="9">
        <v>964</v>
      </c>
      <c r="AA104" s="9">
        <v>69820</v>
      </c>
      <c r="AB104" s="9">
        <v>638</v>
      </c>
      <c r="AC104" s="9">
        <v>18997</v>
      </c>
      <c r="AD104" s="9">
        <v>20165</v>
      </c>
      <c r="AE104" s="9">
        <v>2795</v>
      </c>
      <c r="AF104" s="9">
        <v>14742</v>
      </c>
      <c r="AG104" s="9">
        <v>35797</v>
      </c>
      <c r="AH104" s="9">
        <v>28843</v>
      </c>
      <c r="AI104" s="9">
        <v>29818</v>
      </c>
      <c r="AJ104" s="9">
        <v>50797</v>
      </c>
      <c r="AK104" s="9">
        <v>3893</v>
      </c>
      <c r="AL104" s="10">
        <v>3519</v>
      </c>
    </row>
    <row r="105" spans="1:38" x14ac:dyDescent="0.25">
      <c r="A105" s="4">
        <v>104</v>
      </c>
      <c r="B105" s="5" t="s">
        <v>241</v>
      </c>
      <c r="C105" s="4" t="s">
        <v>242</v>
      </c>
      <c r="D105" s="13">
        <f>_xlfn.XLOOKUP(Table1[[#This Row],[Country / Territory]],[1]!Table9[Country],[1]!Table9[Total Pop],"None",0)</f>
        <v>157933726</v>
      </c>
      <c r="E105" s="13">
        <f>_xlfn.XLOOKUP(Table1[[#This Row],[Country / Territory]],[1]!Table9[Country],[1]!Table9[Total F],"None",0)</f>
        <v>80640033</v>
      </c>
      <c r="F105" s="13">
        <f>_xlfn.XLOOKUP(Table1[[#This Row],[Country / Territory]],[1]!Table9[Country],[1]!Table9[Total M],"None",0)</f>
        <v>77293693</v>
      </c>
      <c r="G105" s="11">
        <v>1453213</v>
      </c>
      <c r="H105" s="11">
        <v>786</v>
      </c>
      <c r="I105" s="11">
        <v>64640</v>
      </c>
      <c r="J105" s="11">
        <v>14795</v>
      </c>
      <c r="K105" s="11">
        <v>284</v>
      </c>
      <c r="L105" s="11">
        <v>0</v>
      </c>
      <c r="M105" s="11">
        <v>4186</v>
      </c>
      <c r="N105" s="11">
        <v>4021</v>
      </c>
      <c r="O105" s="11">
        <v>88</v>
      </c>
      <c r="P105" s="11">
        <v>354</v>
      </c>
      <c r="Q105" s="11">
        <v>7087</v>
      </c>
      <c r="R105" s="11">
        <v>2816</v>
      </c>
      <c r="S105" s="11">
        <v>695601</v>
      </c>
      <c r="T105" s="11">
        <v>50628</v>
      </c>
      <c r="U105" s="11">
        <v>2513</v>
      </c>
      <c r="V105" s="11">
        <v>17229</v>
      </c>
      <c r="W105" s="11">
        <v>35090</v>
      </c>
      <c r="X105" s="11">
        <v>17</v>
      </c>
      <c r="Y105" s="11">
        <v>1737</v>
      </c>
      <c r="Z105" s="11">
        <v>3059</v>
      </c>
      <c r="AA105" s="11">
        <v>356716</v>
      </c>
      <c r="AB105" s="11">
        <v>80</v>
      </c>
      <c r="AC105" s="11">
        <v>14615</v>
      </c>
      <c r="AD105" s="11">
        <v>12630</v>
      </c>
      <c r="AE105" s="11">
        <v>429</v>
      </c>
      <c r="AF105" s="11">
        <v>97</v>
      </c>
      <c r="AG105" s="11">
        <v>12636</v>
      </c>
      <c r="AH105" s="11">
        <v>48037</v>
      </c>
      <c r="AI105" s="11">
        <v>30254</v>
      </c>
      <c r="AJ105" s="11">
        <v>70121</v>
      </c>
      <c r="AK105" s="11">
        <v>2596</v>
      </c>
      <c r="AL105" s="12">
        <v>71</v>
      </c>
    </row>
    <row r="106" spans="1:38" x14ac:dyDescent="0.25">
      <c r="A106" s="2">
        <v>105</v>
      </c>
      <c r="B106" s="3" t="s">
        <v>243</v>
      </c>
      <c r="C106" s="2" t="s">
        <v>244</v>
      </c>
      <c r="D106" s="13">
        <f>_xlfn.XLOOKUP(Table1[[#This Row],[Country / Territory]],[1]!Table9[Country],[1]!Table9[Total Pop],"None",0)</f>
        <v>174528465</v>
      </c>
      <c r="E106" s="13">
        <f>_xlfn.XLOOKUP(Table1[[#This Row],[Country / Territory]],[1]!Table9[Country],[1]!Table9[Total F],"None",0)</f>
        <v>86700472</v>
      </c>
      <c r="F106" s="13">
        <f>_xlfn.XLOOKUP(Table1[[#This Row],[Country / Territory]],[1]!Table9[Country],[1]!Table9[Total M],"None",0)</f>
        <v>87827993</v>
      </c>
      <c r="G106" s="9">
        <v>1414509</v>
      </c>
      <c r="H106" s="9">
        <v>13812</v>
      </c>
      <c r="I106" s="9">
        <v>9990</v>
      </c>
      <c r="J106" s="9">
        <v>3093</v>
      </c>
      <c r="K106" s="9">
        <v>17326</v>
      </c>
      <c r="L106" s="9">
        <v>5372</v>
      </c>
      <c r="M106" s="9">
        <v>18731</v>
      </c>
      <c r="N106" s="9">
        <v>21020</v>
      </c>
      <c r="O106" s="9">
        <v>18920</v>
      </c>
      <c r="P106" s="9">
        <v>6315</v>
      </c>
      <c r="Q106" s="9">
        <v>389</v>
      </c>
      <c r="R106" s="9">
        <v>110749</v>
      </c>
      <c r="S106" s="9">
        <v>309868</v>
      </c>
      <c r="T106" s="9">
        <v>197088</v>
      </c>
      <c r="U106" s="9">
        <v>154761</v>
      </c>
      <c r="V106" s="9">
        <v>2226</v>
      </c>
      <c r="W106" s="9">
        <v>13307</v>
      </c>
      <c r="X106" s="9">
        <v>377</v>
      </c>
      <c r="Y106" s="9">
        <v>87415</v>
      </c>
      <c r="Z106" s="9">
        <v>444</v>
      </c>
      <c r="AA106" s="9">
        <v>112232</v>
      </c>
      <c r="AB106" s="9">
        <v>393</v>
      </c>
      <c r="AC106" s="9">
        <v>34098</v>
      </c>
      <c r="AD106" s="9">
        <v>40767</v>
      </c>
      <c r="AE106" s="9">
        <v>1601</v>
      </c>
      <c r="AF106" s="9">
        <v>16271</v>
      </c>
      <c r="AG106" s="9">
        <v>36050</v>
      </c>
      <c r="AH106" s="9">
        <v>76974</v>
      </c>
      <c r="AI106" s="9">
        <v>30997</v>
      </c>
      <c r="AJ106" s="9">
        <v>66638</v>
      </c>
      <c r="AK106" s="9">
        <v>3451</v>
      </c>
      <c r="AL106" s="10">
        <v>3834</v>
      </c>
    </row>
    <row r="107" spans="1:38" x14ac:dyDescent="0.25">
      <c r="A107" s="4">
        <v>106</v>
      </c>
      <c r="B107" s="5" t="s">
        <v>245</v>
      </c>
      <c r="C107" s="4" t="s">
        <v>246</v>
      </c>
      <c r="D107" s="13">
        <f>_xlfn.XLOOKUP(Table1[[#This Row],[Country / Territory]],[1]!Table9[Country],[1]!Table9[Total Pop],"None",0)</f>
        <v>86584145</v>
      </c>
      <c r="E107" s="13">
        <f>_xlfn.XLOOKUP(Table1[[#This Row],[Country / Territory]],[1]!Table9[Country],[1]!Table9[Total F],"None",0)</f>
        <v>46426681</v>
      </c>
      <c r="F107" s="13">
        <f>_xlfn.XLOOKUP(Table1[[#This Row],[Country / Territory]],[1]!Table9[Country],[1]!Table9[Total M],"None",0)</f>
        <v>40157464</v>
      </c>
      <c r="G107" s="11">
        <v>1412599</v>
      </c>
      <c r="H107" s="11">
        <v>1571</v>
      </c>
      <c r="I107" s="11">
        <v>25100</v>
      </c>
      <c r="J107" s="11">
        <v>4861</v>
      </c>
      <c r="K107" s="11">
        <v>171</v>
      </c>
      <c r="L107" s="11">
        <v>0</v>
      </c>
      <c r="M107" s="11">
        <v>9498</v>
      </c>
      <c r="N107" s="11">
        <v>13193</v>
      </c>
      <c r="O107" s="11">
        <v>479</v>
      </c>
      <c r="P107" s="11">
        <v>4999</v>
      </c>
      <c r="Q107" s="11">
        <v>995</v>
      </c>
      <c r="R107" s="11">
        <v>10983</v>
      </c>
      <c r="S107" s="11">
        <v>746997</v>
      </c>
      <c r="T107" s="11">
        <v>32555</v>
      </c>
      <c r="U107" s="11">
        <v>9647</v>
      </c>
      <c r="V107" s="11">
        <v>12646</v>
      </c>
      <c r="W107" s="11">
        <v>22504</v>
      </c>
      <c r="X107" s="11">
        <v>69</v>
      </c>
      <c r="Y107" s="11">
        <v>960</v>
      </c>
      <c r="Z107" s="11">
        <v>6914</v>
      </c>
      <c r="AA107" s="11">
        <v>182270</v>
      </c>
      <c r="AB107" s="11">
        <v>1069</v>
      </c>
      <c r="AC107" s="11">
        <v>10389</v>
      </c>
      <c r="AD107" s="11">
        <v>5526</v>
      </c>
      <c r="AE107" s="11">
        <v>7418</v>
      </c>
      <c r="AF107" s="11">
        <v>115</v>
      </c>
      <c r="AG107" s="11">
        <v>20292</v>
      </c>
      <c r="AH107" s="11">
        <v>46607</v>
      </c>
      <c r="AI107" s="11">
        <v>101480</v>
      </c>
      <c r="AJ107" s="11">
        <v>127944</v>
      </c>
      <c r="AK107" s="11">
        <v>5067</v>
      </c>
      <c r="AL107" s="12">
        <v>280</v>
      </c>
    </row>
    <row r="108" spans="1:38" x14ac:dyDescent="0.25">
      <c r="A108" s="2">
        <v>107</v>
      </c>
      <c r="B108" s="3" t="s">
        <v>247</v>
      </c>
      <c r="C108" s="2" t="s">
        <v>248</v>
      </c>
      <c r="D108" s="13">
        <f>_xlfn.XLOOKUP(Table1[[#This Row],[Country / Territory]],[1]!Table9[Country],[1]!Table9[Total Pop],"None",0)</f>
        <v>196612891</v>
      </c>
      <c r="E108" s="13">
        <f>_xlfn.XLOOKUP(Table1[[#This Row],[Country / Territory]],[1]!Table9[Country],[1]!Table9[Total F],"None",0)</f>
        <v>94304751</v>
      </c>
      <c r="F108" s="13">
        <f>_xlfn.XLOOKUP(Table1[[#This Row],[Country / Territory]],[1]!Table9[Country],[1]!Table9[Total M],"None",0)</f>
        <v>102308140</v>
      </c>
      <c r="G108" s="9">
        <v>1349157</v>
      </c>
      <c r="H108" s="9">
        <v>21081</v>
      </c>
      <c r="I108" s="9">
        <v>7989</v>
      </c>
      <c r="J108" s="9">
        <v>3979</v>
      </c>
      <c r="K108" s="9">
        <v>6284</v>
      </c>
      <c r="L108" s="9">
        <v>35997</v>
      </c>
      <c r="M108" s="9">
        <v>8916</v>
      </c>
      <c r="N108" s="9">
        <v>15262</v>
      </c>
      <c r="O108" s="9">
        <v>19822</v>
      </c>
      <c r="P108" s="9">
        <v>64513</v>
      </c>
      <c r="Q108" s="9">
        <v>435</v>
      </c>
      <c r="R108" s="9">
        <v>41706</v>
      </c>
      <c r="S108" s="9">
        <v>293524</v>
      </c>
      <c r="T108" s="9">
        <v>165597</v>
      </c>
      <c r="U108" s="9">
        <v>99287</v>
      </c>
      <c r="V108" s="9">
        <v>1780</v>
      </c>
      <c r="W108" s="9">
        <v>5864</v>
      </c>
      <c r="X108" s="9">
        <v>3062</v>
      </c>
      <c r="Y108" s="9">
        <v>85282</v>
      </c>
      <c r="Z108" s="9">
        <v>662</v>
      </c>
      <c r="AA108" s="9">
        <v>102728</v>
      </c>
      <c r="AB108" s="9">
        <v>280</v>
      </c>
      <c r="AC108" s="9">
        <v>83158</v>
      </c>
      <c r="AD108" s="9">
        <v>14072</v>
      </c>
      <c r="AE108" s="9">
        <v>3358</v>
      </c>
      <c r="AF108" s="9">
        <v>6194</v>
      </c>
      <c r="AG108" s="9">
        <v>47315</v>
      </c>
      <c r="AH108" s="9">
        <v>150913</v>
      </c>
      <c r="AI108" s="9">
        <v>12946</v>
      </c>
      <c r="AJ108" s="9">
        <v>28270</v>
      </c>
      <c r="AK108" s="9">
        <v>16201</v>
      </c>
      <c r="AL108" s="10">
        <v>2680</v>
      </c>
    </row>
    <row r="109" spans="1:38" x14ac:dyDescent="0.25">
      <c r="A109" s="4">
        <v>108</v>
      </c>
      <c r="B109" s="5" t="s">
        <v>249</v>
      </c>
      <c r="C109" s="4" t="s">
        <v>250</v>
      </c>
      <c r="D109" s="13">
        <f>_xlfn.XLOOKUP(Table1[[#This Row],[Country / Territory]],[1]!Table9[Country],[1]!Table9[Total Pop],"None",0)</f>
        <v>212923738</v>
      </c>
      <c r="E109" s="13">
        <f>_xlfn.XLOOKUP(Table1[[#This Row],[Country / Territory]],[1]!Table9[Country],[1]!Table9[Total F],"None",0)</f>
        <v>109671567</v>
      </c>
      <c r="F109" s="13">
        <f>_xlfn.XLOOKUP(Table1[[#This Row],[Country / Territory]],[1]!Table9[Country],[1]!Table9[Total M],"None",0)</f>
        <v>103252171</v>
      </c>
      <c r="G109" s="11">
        <v>1335833</v>
      </c>
      <c r="H109" s="11">
        <v>10431</v>
      </c>
      <c r="I109" s="11">
        <v>15844</v>
      </c>
      <c r="J109" s="11">
        <v>5497</v>
      </c>
      <c r="K109" s="11">
        <v>3510</v>
      </c>
      <c r="L109" s="11">
        <v>4932</v>
      </c>
      <c r="M109" s="11">
        <v>22954</v>
      </c>
      <c r="N109" s="11">
        <v>10944</v>
      </c>
      <c r="O109" s="11">
        <v>2576</v>
      </c>
      <c r="P109" s="11">
        <v>2325</v>
      </c>
      <c r="Q109" s="11">
        <v>530</v>
      </c>
      <c r="R109" s="11">
        <v>22215</v>
      </c>
      <c r="S109" s="11">
        <v>535923</v>
      </c>
      <c r="T109" s="11">
        <v>157704</v>
      </c>
      <c r="U109" s="11">
        <v>90126</v>
      </c>
      <c r="V109" s="11">
        <v>5101</v>
      </c>
      <c r="W109" s="11">
        <v>9728</v>
      </c>
      <c r="X109" s="11">
        <v>2072</v>
      </c>
      <c r="Y109" s="11">
        <v>67291</v>
      </c>
      <c r="Z109" s="11">
        <v>309</v>
      </c>
      <c r="AA109" s="11">
        <v>120108</v>
      </c>
      <c r="AB109" s="11">
        <v>24266</v>
      </c>
      <c r="AC109" s="11">
        <v>25178</v>
      </c>
      <c r="AD109" s="11">
        <v>6711</v>
      </c>
      <c r="AE109" s="11">
        <v>2965</v>
      </c>
      <c r="AF109" s="11">
        <v>560</v>
      </c>
      <c r="AG109" s="11">
        <v>17297</v>
      </c>
      <c r="AH109" s="11">
        <v>50477</v>
      </c>
      <c r="AI109" s="11">
        <v>45011</v>
      </c>
      <c r="AJ109" s="11">
        <v>59507</v>
      </c>
      <c r="AK109" s="11">
        <v>10001</v>
      </c>
      <c r="AL109" s="12">
        <v>3740</v>
      </c>
    </row>
    <row r="110" spans="1:38" x14ac:dyDescent="0.25">
      <c r="A110" s="2">
        <v>109</v>
      </c>
      <c r="B110" s="3" t="s">
        <v>251</v>
      </c>
      <c r="C110" s="2" t="s">
        <v>252</v>
      </c>
      <c r="D110" s="13">
        <f>_xlfn.XLOOKUP(Table1[[#This Row],[Country / Territory]],[1]!Table9[Country],[1]!Table9[Total Pop],"None",0)</f>
        <v>77040205</v>
      </c>
      <c r="E110" s="13">
        <f>_xlfn.XLOOKUP(Table1[[#This Row],[Country / Territory]],[1]!Table9[Country],[1]!Table9[Total F],"None",0)</f>
        <v>39223264</v>
      </c>
      <c r="F110" s="13">
        <f>_xlfn.XLOOKUP(Table1[[#This Row],[Country / Territory]],[1]!Table9[Country],[1]!Table9[Total M],"None",0)</f>
        <v>37816941</v>
      </c>
      <c r="G110" s="9">
        <v>1273196</v>
      </c>
      <c r="H110" s="9">
        <v>25311</v>
      </c>
      <c r="I110" s="9">
        <v>3819</v>
      </c>
      <c r="J110" s="9">
        <v>1202</v>
      </c>
      <c r="K110" s="9">
        <v>61745</v>
      </c>
      <c r="L110" s="9">
        <v>11951</v>
      </c>
      <c r="M110" s="9">
        <v>4850</v>
      </c>
      <c r="N110" s="9">
        <v>13945</v>
      </c>
      <c r="O110" s="9">
        <v>25142</v>
      </c>
      <c r="P110" s="9">
        <v>71881</v>
      </c>
      <c r="Q110" s="9">
        <v>261</v>
      </c>
      <c r="R110" s="9">
        <v>141081</v>
      </c>
      <c r="S110" s="9">
        <v>134500</v>
      </c>
      <c r="T110" s="9">
        <v>142415</v>
      </c>
      <c r="U110" s="9">
        <v>101110</v>
      </c>
      <c r="V110" s="9">
        <v>1226</v>
      </c>
      <c r="W110" s="9">
        <v>12046</v>
      </c>
      <c r="X110" s="9">
        <v>3</v>
      </c>
      <c r="Y110" s="9">
        <v>163153</v>
      </c>
      <c r="Z110" s="9">
        <v>1543</v>
      </c>
      <c r="AA110" s="9">
        <v>71735</v>
      </c>
      <c r="AB110" s="9">
        <v>43236</v>
      </c>
      <c r="AC110" s="9">
        <v>20247</v>
      </c>
      <c r="AD110" s="9">
        <v>13241</v>
      </c>
      <c r="AE110" s="9">
        <v>3733</v>
      </c>
      <c r="AF110" s="9">
        <v>59708</v>
      </c>
      <c r="AG110" s="9">
        <v>25804</v>
      </c>
      <c r="AH110" s="9">
        <v>26717</v>
      </c>
      <c r="AI110" s="9">
        <v>32760</v>
      </c>
      <c r="AJ110" s="9">
        <v>51659</v>
      </c>
      <c r="AK110" s="9">
        <v>4098</v>
      </c>
      <c r="AL110" s="10">
        <v>3074</v>
      </c>
    </row>
    <row r="111" spans="1:38" x14ac:dyDescent="0.25">
      <c r="A111" s="4">
        <v>110</v>
      </c>
      <c r="B111" s="5" t="s">
        <v>253</v>
      </c>
      <c r="C111" s="4" t="s">
        <v>254</v>
      </c>
      <c r="D111" s="13">
        <f>_xlfn.XLOOKUP(Table1[[#This Row],[Country / Territory]],[1]!Table9[Country],[1]!Table9[Total Pop],"None",0)</f>
        <v>98986252</v>
      </c>
      <c r="E111" s="13">
        <f>_xlfn.XLOOKUP(Table1[[#This Row],[Country / Territory]],[1]!Table9[Country],[1]!Table9[Total F],"None",0)</f>
        <v>52826255</v>
      </c>
      <c r="F111" s="13">
        <f>_xlfn.XLOOKUP(Table1[[#This Row],[Country / Territory]],[1]!Table9[Country],[1]!Table9[Total M],"None",0)</f>
        <v>46159997</v>
      </c>
      <c r="G111" s="11">
        <v>1217385</v>
      </c>
      <c r="H111" s="11">
        <v>1042</v>
      </c>
      <c r="I111" s="11">
        <v>32826</v>
      </c>
      <c r="J111" s="11">
        <v>6271</v>
      </c>
      <c r="K111" s="11">
        <v>190</v>
      </c>
      <c r="L111" s="11">
        <v>0</v>
      </c>
      <c r="M111" s="11">
        <v>11752</v>
      </c>
      <c r="N111" s="11">
        <v>9714</v>
      </c>
      <c r="O111" s="11">
        <v>137</v>
      </c>
      <c r="P111" s="11">
        <v>1784</v>
      </c>
      <c r="Q111" s="11">
        <v>2803</v>
      </c>
      <c r="R111" s="11">
        <v>9166</v>
      </c>
      <c r="S111" s="11">
        <v>657865</v>
      </c>
      <c r="T111" s="11">
        <v>16145</v>
      </c>
      <c r="U111" s="11">
        <v>3315</v>
      </c>
      <c r="V111" s="11">
        <v>17741</v>
      </c>
      <c r="W111" s="11">
        <v>42217</v>
      </c>
      <c r="X111" s="11">
        <v>20</v>
      </c>
      <c r="Y111" s="11">
        <v>301</v>
      </c>
      <c r="Z111" s="11">
        <v>8876</v>
      </c>
      <c r="AA111" s="11">
        <v>241986</v>
      </c>
      <c r="AB111" s="11">
        <v>19</v>
      </c>
      <c r="AC111" s="11">
        <v>7278</v>
      </c>
      <c r="AD111" s="11">
        <v>6720</v>
      </c>
      <c r="AE111" s="11">
        <v>4540</v>
      </c>
      <c r="AF111" s="11">
        <v>85</v>
      </c>
      <c r="AG111" s="11">
        <v>21638</v>
      </c>
      <c r="AH111" s="11">
        <v>31808</v>
      </c>
      <c r="AI111" s="11">
        <v>25576</v>
      </c>
      <c r="AJ111" s="11">
        <v>51246</v>
      </c>
      <c r="AK111" s="11">
        <v>4251</v>
      </c>
      <c r="AL111" s="12">
        <v>73</v>
      </c>
    </row>
    <row r="112" spans="1:38" x14ac:dyDescent="0.25">
      <c r="A112" s="2">
        <v>111</v>
      </c>
      <c r="B112" s="3" t="s">
        <v>255</v>
      </c>
      <c r="C112" s="2" t="s">
        <v>256</v>
      </c>
      <c r="D112" s="13">
        <f>_xlfn.XLOOKUP(Table1[[#This Row],[Country / Territory]],[1]!Table9[Country],[1]!Table9[Total Pop],"None",0)</f>
        <v>141204639</v>
      </c>
      <c r="E112" s="13">
        <f>_xlfn.XLOOKUP(Table1[[#This Row],[Country / Territory]],[1]!Table9[Country],[1]!Table9[Total F],"None",0)</f>
        <v>70860885</v>
      </c>
      <c r="F112" s="13">
        <f>_xlfn.XLOOKUP(Table1[[#This Row],[Country / Territory]],[1]!Table9[Country],[1]!Table9[Total M],"None",0)</f>
        <v>70343754</v>
      </c>
      <c r="G112" s="9">
        <v>1205649</v>
      </c>
      <c r="H112" s="9">
        <v>878</v>
      </c>
      <c r="I112" s="9">
        <v>65284</v>
      </c>
      <c r="J112" s="9">
        <v>11827</v>
      </c>
      <c r="K112" s="9">
        <v>1402</v>
      </c>
      <c r="L112" s="9">
        <v>0</v>
      </c>
      <c r="M112" s="9">
        <v>2045</v>
      </c>
      <c r="N112" s="9">
        <v>1289</v>
      </c>
      <c r="O112" s="9">
        <v>80</v>
      </c>
      <c r="P112" s="9">
        <v>773</v>
      </c>
      <c r="Q112" s="9">
        <v>7568</v>
      </c>
      <c r="R112" s="9">
        <v>1738</v>
      </c>
      <c r="S112" s="9">
        <v>490252</v>
      </c>
      <c r="T112" s="9">
        <v>68615</v>
      </c>
      <c r="U112" s="9">
        <v>2898</v>
      </c>
      <c r="V112" s="9">
        <v>7758</v>
      </c>
      <c r="W112" s="9">
        <v>18010</v>
      </c>
      <c r="X112" s="9">
        <v>140</v>
      </c>
      <c r="Y112" s="9">
        <v>6724</v>
      </c>
      <c r="Z112" s="9">
        <v>971</v>
      </c>
      <c r="AA112" s="9">
        <v>345384</v>
      </c>
      <c r="AB112" s="9">
        <v>88</v>
      </c>
      <c r="AC112" s="9">
        <v>19988</v>
      </c>
      <c r="AD112" s="9">
        <v>17960</v>
      </c>
      <c r="AE112" s="9">
        <v>571</v>
      </c>
      <c r="AF112" s="9">
        <v>1182</v>
      </c>
      <c r="AG112" s="9">
        <v>9041</v>
      </c>
      <c r="AH112" s="9">
        <v>67974</v>
      </c>
      <c r="AI112" s="9">
        <v>10864</v>
      </c>
      <c r="AJ112" s="9">
        <v>42226</v>
      </c>
      <c r="AK112" s="9">
        <v>2059</v>
      </c>
      <c r="AL112" s="10">
        <v>60</v>
      </c>
    </row>
    <row r="113" spans="1:38" x14ac:dyDescent="0.25">
      <c r="A113" s="4">
        <v>112</v>
      </c>
      <c r="B113" s="5" t="s">
        <v>257</v>
      </c>
      <c r="C113" s="4" t="s">
        <v>258</v>
      </c>
      <c r="D113" s="13">
        <f>_xlfn.XLOOKUP(Table1[[#This Row],[Country / Territory]],[1]!Table9[Country],[1]!Table9[Total Pop],"None",0)</f>
        <v>222114046</v>
      </c>
      <c r="E113" s="13">
        <f>_xlfn.XLOOKUP(Table1[[#This Row],[Country / Territory]],[1]!Table9[Country],[1]!Table9[Total F],"None",0)</f>
        <v>110175927</v>
      </c>
      <c r="F113" s="13">
        <f>_xlfn.XLOOKUP(Table1[[#This Row],[Country / Territory]],[1]!Table9[Country],[1]!Table9[Total M],"None",0)</f>
        <v>111938119</v>
      </c>
      <c r="G113" s="11">
        <v>1133218</v>
      </c>
      <c r="H113" s="11">
        <v>4455</v>
      </c>
      <c r="I113" s="11">
        <v>19534</v>
      </c>
      <c r="J113" s="11">
        <v>6484</v>
      </c>
      <c r="K113" s="11">
        <v>7735</v>
      </c>
      <c r="L113" s="11">
        <v>205</v>
      </c>
      <c r="M113" s="11">
        <v>6784</v>
      </c>
      <c r="N113" s="11">
        <v>100835</v>
      </c>
      <c r="O113" s="11">
        <v>10356</v>
      </c>
      <c r="P113" s="11">
        <v>3735</v>
      </c>
      <c r="Q113" s="11">
        <v>1721</v>
      </c>
      <c r="R113" s="11">
        <v>15393</v>
      </c>
      <c r="S113" s="11">
        <v>270940</v>
      </c>
      <c r="T113" s="11">
        <v>35096</v>
      </c>
      <c r="U113" s="11">
        <v>70799</v>
      </c>
      <c r="V113" s="11">
        <v>7617</v>
      </c>
      <c r="W113" s="11">
        <v>5826</v>
      </c>
      <c r="X113" s="11">
        <v>15648</v>
      </c>
      <c r="Y113" s="11">
        <v>58414</v>
      </c>
      <c r="Z113" s="11">
        <v>127</v>
      </c>
      <c r="AA113" s="11">
        <v>135345</v>
      </c>
      <c r="AB113" s="11">
        <v>161</v>
      </c>
      <c r="AC113" s="11">
        <v>18770</v>
      </c>
      <c r="AD113" s="11">
        <v>50046</v>
      </c>
      <c r="AE113" s="11">
        <v>1627</v>
      </c>
      <c r="AF113" s="11">
        <v>7123</v>
      </c>
      <c r="AG113" s="11">
        <v>29024</v>
      </c>
      <c r="AH113" s="11">
        <v>68649</v>
      </c>
      <c r="AI113" s="11">
        <v>57558</v>
      </c>
      <c r="AJ113" s="11">
        <v>120555</v>
      </c>
      <c r="AK113" s="11">
        <v>1834</v>
      </c>
      <c r="AL113" s="12">
        <v>822</v>
      </c>
    </row>
    <row r="114" spans="1:38" x14ac:dyDescent="0.25">
      <c r="A114" s="2">
        <v>113</v>
      </c>
      <c r="B114" s="3" t="s">
        <v>259</v>
      </c>
      <c r="C114" s="2" t="s">
        <v>260</v>
      </c>
      <c r="D114" s="13">
        <f>_xlfn.XLOOKUP(Table1[[#This Row],[Country / Territory]],[1]!Table9[Country],[1]!Table9[Total Pop],"None",0)</f>
        <v>157141876</v>
      </c>
      <c r="E114" s="13">
        <f>_xlfn.XLOOKUP(Table1[[#This Row],[Country / Territory]],[1]!Table9[Country],[1]!Table9[Total F],"None",0)</f>
        <v>80829251</v>
      </c>
      <c r="F114" s="13">
        <f>_xlfn.XLOOKUP(Table1[[#This Row],[Country / Territory]],[1]!Table9[Country],[1]!Table9[Total M],"None",0)</f>
        <v>76312625</v>
      </c>
      <c r="G114" s="9">
        <v>1118630</v>
      </c>
      <c r="H114" s="9">
        <v>3249</v>
      </c>
      <c r="I114" s="9">
        <v>19434</v>
      </c>
      <c r="J114" s="9">
        <v>3521</v>
      </c>
      <c r="K114" s="9">
        <v>564</v>
      </c>
      <c r="L114" s="9">
        <v>12</v>
      </c>
      <c r="M114" s="9">
        <v>12857</v>
      </c>
      <c r="N114" s="9">
        <v>12968</v>
      </c>
      <c r="O114" s="9">
        <v>2013</v>
      </c>
      <c r="P114" s="9">
        <v>3767</v>
      </c>
      <c r="Q114" s="9">
        <v>2153</v>
      </c>
      <c r="R114" s="9">
        <v>19192</v>
      </c>
      <c r="S114" s="9">
        <v>517868</v>
      </c>
      <c r="T114" s="9">
        <v>52290</v>
      </c>
      <c r="U114" s="9">
        <v>52311</v>
      </c>
      <c r="V114" s="9">
        <v>12578</v>
      </c>
      <c r="W114" s="9">
        <v>19677</v>
      </c>
      <c r="X114" s="9">
        <v>600</v>
      </c>
      <c r="Y114" s="9">
        <v>9442</v>
      </c>
      <c r="Z114" s="9">
        <v>3722</v>
      </c>
      <c r="AA114" s="9">
        <v>113709</v>
      </c>
      <c r="AB114" s="9">
        <v>672</v>
      </c>
      <c r="AC114" s="9">
        <v>8541</v>
      </c>
      <c r="AD114" s="9">
        <v>15474</v>
      </c>
      <c r="AE114" s="9">
        <v>3550</v>
      </c>
      <c r="AF114" s="9">
        <v>463</v>
      </c>
      <c r="AG114" s="9">
        <v>27667</v>
      </c>
      <c r="AH114" s="9">
        <v>72407</v>
      </c>
      <c r="AI114" s="9">
        <v>55655</v>
      </c>
      <c r="AJ114" s="9">
        <v>66466</v>
      </c>
      <c r="AK114" s="9">
        <v>4570</v>
      </c>
      <c r="AL114" s="10">
        <v>1238</v>
      </c>
    </row>
    <row r="115" spans="1:38" x14ac:dyDescent="0.25">
      <c r="A115" s="4">
        <v>114</v>
      </c>
      <c r="B115" s="5" t="s">
        <v>261</v>
      </c>
      <c r="C115" s="4" t="s">
        <v>262</v>
      </c>
      <c r="D115" s="13">
        <f>_xlfn.XLOOKUP(Table1[[#This Row],[Country / Territory]],[1]!Table9[Country],[1]!Table9[Total Pop],"None",0)</f>
        <v>206467300</v>
      </c>
      <c r="E115" s="13">
        <f>_xlfn.XLOOKUP(Table1[[#This Row],[Country / Territory]],[1]!Table9[Country],[1]!Table9[Total F],"None",0)</f>
        <v>104296730</v>
      </c>
      <c r="F115" s="13">
        <f>_xlfn.XLOOKUP(Table1[[#This Row],[Country / Territory]],[1]!Table9[Country],[1]!Table9[Total M],"None",0)</f>
        <v>102170570</v>
      </c>
      <c r="G115" s="11">
        <v>1087929</v>
      </c>
      <c r="H115" s="11">
        <v>1045</v>
      </c>
      <c r="I115" s="11">
        <v>48452</v>
      </c>
      <c r="J115" s="11">
        <v>12292</v>
      </c>
      <c r="K115" s="11">
        <v>990</v>
      </c>
      <c r="L115" s="11">
        <v>0</v>
      </c>
      <c r="M115" s="11">
        <v>1526</v>
      </c>
      <c r="N115" s="11">
        <v>5255</v>
      </c>
      <c r="O115" s="11">
        <v>262</v>
      </c>
      <c r="P115" s="11">
        <v>1186</v>
      </c>
      <c r="Q115" s="11">
        <v>1640</v>
      </c>
      <c r="R115" s="11">
        <v>1423</v>
      </c>
      <c r="S115" s="11">
        <v>353386</v>
      </c>
      <c r="T115" s="11">
        <v>32778</v>
      </c>
      <c r="U115" s="11">
        <v>10404</v>
      </c>
      <c r="V115" s="11">
        <v>1862</v>
      </c>
      <c r="W115" s="11">
        <v>15596</v>
      </c>
      <c r="X115" s="11">
        <v>49</v>
      </c>
      <c r="Y115" s="11">
        <v>5931</v>
      </c>
      <c r="Z115" s="11">
        <v>419</v>
      </c>
      <c r="AA115" s="11">
        <v>331189</v>
      </c>
      <c r="AB115" s="11">
        <v>8833</v>
      </c>
      <c r="AC115" s="11">
        <v>63661</v>
      </c>
      <c r="AD115" s="11">
        <v>54179</v>
      </c>
      <c r="AE115" s="11">
        <v>243</v>
      </c>
      <c r="AF115" s="11">
        <v>743</v>
      </c>
      <c r="AG115" s="11">
        <v>19927</v>
      </c>
      <c r="AH115" s="11">
        <v>47848</v>
      </c>
      <c r="AI115" s="11">
        <v>18669</v>
      </c>
      <c r="AJ115" s="11">
        <v>46616</v>
      </c>
      <c r="AK115" s="11">
        <v>1348</v>
      </c>
      <c r="AL115" s="12">
        <v>177</v>
      </c>
    </row>
    <row r="116" spans="1:38" x14ac:dyDescent="0.25">
      <c r="A116" s="2">
        <v>115</v>
      </c>
      <c r="B116" s="3" t="s">
        <v>263</v>
      </c>
      <c r="C116" s="2" t="s">
        <v>264</v>
      </c>
      <c r="D116" s="13">
        <f>_xlfn.XLOOKUP(Table1[[#This Row],[Country / Territory]],[1]!Table9[Country],[1]!Table9[Total Pop],"None",0)</f>
        <v>114177843</v>
      </c>
      <c r="E116" s="13">
        <f>_xlfn.XLOOKUP(Table1[[#This Row],[Country / Territory]],[1]!Table9[Country],[1]!Table9[Total F],"None",0)</f>
        <v>57220740</v>
      </c>
      <c r="F116" s="13">
        <f>_xlfn.XLOOKUP(Table1[[#This Row],[Country / Territory]],[1]!Table9[Country],[1]!Table9[Total M],"None",0)</f>
        <v>56957103</v>
      </c>
      <c r="G116" s="9">
        <v>1060983</v>
      </c>
      <c r="H116" s="9">
        <v>11567</v>
      </c>
      <c r="I116" s="9">
        <v>5445</v>
      </c>
      <c r="J116" s="9">
        <v>1623</v>
      </c>
      <c r="K116" s="9">
        <v>11970</v>
      </c>
      <c r="L116" s="9">
        <v>69947</v>
      </c>
      <c r="M116" s="9">
        <v>3621</v>
      </c>
      <c r="N116" s="9">
        <v>5894</v>
      </c>
      <c r="O116" s="9">
        <v>13664</v>
      </c>
      <c r="P116" s="9">
        <v>191273</v>
      </c>
      <c r="Q116" s="9">
        <v>449</v>
      </c>
      <c r="R116" s="9">
        <v>69715</v>
      </c>
      <c r="S116" s="9">
        <v>157498</v>
      </c>
      <c r="T116" s="9">
        <v>64391</v>
      </c>
      <c r="U116" s="9">
        <v>69747</v>
      </c>
      <c r="V116" s="9">
        <v>1175</v>
      </c>
      <c r="W116" s="9">
        <v>10310</v>
      </c>
      <c r="X116" s="9">
        <v>28</v>
      </c>
      <c r="Y116" s="9">
        <v>99614</v>
      </c>
      <c r="Z116" s="9">
        <v>573</v>
      </c>
      <c r="AA116" s="9">
        <v>67958</v>
      </c>
      <c r="AB116" s="9">
        <v>16445</v>
      </c>
      <c r="AC116" s="9">
        <v>24062</v>
      </c>
      <c r="AD116" s="9">
        <v>15135</v>
      </c>
      <c r="AE116" s="9">
        <v>1921</v>
      </c>
      <c r="AF116" s="9">
        <v>11328</v>
      </c>
      <c r="AG116" s="9">
        <v>39775</v>
      </c>
      <c r="AH116" s="9">
        <v>26271</v>
      </c>
      <c r="AI116" s="9">
        <v>25051</v>
      </c>
      <c r="AJ116" s="9">
        <v>40923</v>
      </c>
      <c r="AK116" s="9">
        <v>2392</v>
      </c>
      <c r="AL116" s="10">
        <v>1218</v>
      </c>
    </row>
    <row r="117" spans="1:38" x14ac:dyDescent="0.25">
      <c r="A117" s="4">
        <v>116</v>
      </c>
      <c r="B117" s="5" t="s">
        <v>265</v>
      </c>
      <c r="C117" s="4" t="s">
        <v>266</v>
      </c>
      <c r="D117" s="13">
        <f>_xlfn.XLOOKUP(Table1[[#This Row],[Country / Territory]],[1]!Table9[Country],[1]!Table9[Total Pop],"None",0)</f>
        <v>178672077</v>
      </c>
      <c r="E117" s="13">
        <f>_xlfn.XLOOKUP(Table1[[#This Row],[Country / Territory]],[1]!Table9[Country],[1]!Table9[Total F],"None",0)</f>
        <v>92833940</v>
      </c>
      <c r="F117" s="13">
        <f>_xlfn.XLOOKUP(Table1[[#This Row],[Country / Territory]],[1]!Table9[Country],[1]!Table9[Total M],"None",0)</f>
        <v>85838137</v>
      </c>
      <c r="G117" s="11">
        <v>1021357</v>
      </c>
      <c r="H117" s="11">
        <v>2863</v>
      </c>
      <c r="I117" s="11">
        <v>33957</v>
      </c>
      <c r="J117" s="11">
        <v>5985</v>
      </c>
      <c r="K117" s="11">
        <v>9761</v>
      </c>
      <c r="L117" s="11">
        <v>34</v>
      </c>
      <c r="M117" s="11">
        <v>7347</v>
      </c>
      <c r="N117" s="11">
        <v>103286</v>
      </c>
      <c r="O117" s="11">
        <v>3236</v>
      </c>
      <c r="P117" s="11">
        <v>16995</v>
      </c>
      <c r="Q117" s="11">
        <v>247</v>
      </c>
      <c r="R117" s="11">
        <v>5070</v>
      </c>
      <c r="S117" s="11">
        <v>222986</v>
      </c>
      <c r="T117" s="11">
        <v>63650</v>
      </c>
      <c r="U117" s="11">
        <v>40341</v>
      </c>
      <c r="V117" s="11">
        <v>27028</v>
      </c>
      <c r="W117" s="11">
        <v>15566</v>
      </c>
      <c r="X117" s="11">
        <v>2468</v>
      </c>
      <c r="Y117" s="11">
        <v>26523</v>
      </c>
      <c r="Z117" s="11">
        <v>111</v>
      </c>
      <c r="AA117" s="11">
        <v>128602</v>
      </c>
      <c r="AB117" s="11">
        <v>2542</v>
      </c>
      <c r="AC117" s="11">
        <v>41716</v>
      </c>
      <c r="AD117" s="11">
        <v>74204</v>
      </c>
      <c r="AE117" s="11">
        <v>455</v>
      </c>
      <c r="AF117" s="11">
        <v>9725</v>
      </c>
      <c r="AG117" s="11">
        <v>41754</v>
      </c>
      <c r="AH117" s="11">
        <v>35418</v>
      </c>
      <c r="AI117" s="11">
        <v>35406</v>
      </c>
      <c r="AJ117" s="11">
        <v>62337</v>
      </c>
      <c r="AK117" s="11">
        <v>1573</v>
      </c>
      <c r="AL117" s="12">
        <v>171</v>
      </c>
    </row>
    <row r="118" spans="1:38" x14ac:dyDescent="0.25">
      <c r="A118" s="2">
        <v>117</v>
      </c>
      <c r="B118" s="3" t="s">
        <v>267</v>
      </c>
      <c r="C118" s="2" t="s">
        <v>268</v>
      </c>
      <c r="D118" s="13">
        <f>_xlfn.XLOOKUP(Table1[[#This Row],[Country / Territory]],[1]!Table9[Country],[1]!Table9[Total Pop],"None",0)</f>
        <v>116999281</v>
      </c>
      <c r="E118" s="13">
        <f>_xlfn.XLOOKUP(Table1[[#This Row],[Country / Territory]],[1]!Table9[Country],[1]!Table9[Total F],"None",0)</f>
        <v>61054465</v>
      </c>
      <c r="F118" s="13">
        <f>_xlfn.XLOOKUP(Table1[[#This Row],[Country / Territory]],[1]!Table9[Country],[1]!Table9[Total M],"None",0)</f>
        <v>55944816</v>
      </c>
      <c r="G118" s="9">
        <v>1016460</v>
      </c>
      <c r="H118" s="9">
        <v>478</v>
      </c>
      <c r="I118" s="9">
        <v>22273</v>
      </c>
      <c r="J118" s="9">
        <v>7552</v>
      </c>
      <c r="K118" s="9">
        <v>117</v>
      </c>
      <c r="L118" s="9">
        <v>0</v>
      </c>
      <c r="M118" s="9">
        <v>2063</v>
      </c>
      <c r="N118" s="9">
        <v>3972</v>
      </c>
      <c r="O118" s="9">
        <v>178</v>
      </c>
      <c r="P118" s="9">
        <v>91</v>
      </c>
      <c r="Q118" s="9">
        <v>219</v>
      </c>
      <c r="R118" s="9">
        <v>6806</v>
      </c>
      <c r="S118" s="9">
        <v>500781</v>
      </c>
      <c r="T118" s="9">
        <v>12429</v>
      </c>
      <c r="U118" s="9">
        <v>7523</v>
      </c>
      <c r="V118" s="9">
        <v>5464</v>
      </c>
      <c r="W118" s="9">
        <v>12940</v>
      </c>
      <c r="X118" s="9">
        <v>41</v>
      </c>
      <c r="Y118" s="9">
        <v>351</v>
      </c>
      <c r="Z118" s="9">
        <v>297</v>
      </c>
      <c r="AA118" s="9">
        <v>237661</v>
      </c>
      <c r="AB118" s="9">
        <v>27414</v>
      </c>
      <c r="AC118" s="9">
        <v>45187</v>
      </c>
      <c r="AD118" s="9">
        <v>15439</v>
      </c>
      <c r="AE118" s="9">
        <v>1887</v>
      </c>
      <c r="AF118" s="9">
        <v>47</v>
      </c>
      <c r="AG118" s="9">
        <v>7110</v>
      </c>
      <c r="AH118" s="9">
        <v>37217</v>
      </c>
      <c r="AI118" s="9">
        <v>20590</v>
      </c>
      <c r="AJ118" s="9">
        <v>38172</v>
      </c>
      <c r="AK118" s="9">
        <v>2000</v>
      </c>
      <c r="AL118" s="10">
        <v>161</v>
      </c>
    </row>
    <row r="119" spans="1:38" x14ac:dyDescent="0.25">
      <c r="A119" s="4">
        <v>118</v>
      </c>
      <c r="B119" s="5" t="s">
        <v>269</v>
      </c>
      <c r="C119" s="4" t="s">
        <v>270</v>
      </c>
      <c r="D119" s="13">
        <f>_xlfn.XLOOKUP(Table1[[#This Row],[Country / Territory]],[1]!Table9[Country],[1]!Table9[Total Pop],"None",0)</f>
        <v>102343546</v>
      </c>
      <c r="E119" s="13">
        <f>_xlfn.XLOOKUP(Table1[[#This Row],[Country / Territory]],[1]!Table9[Country],[1]!Table9[Total F],"None",0)</f>
        <v>51498536</v>
      </c>
      <c r="F119" s="13">
        <f>_xlfn.XLOOKUP(Table1[[#This Row],[Country / Territory]],[1]!Table9[Country],[1]!Table9[Total M],"None",0)</f>
        <v>50845010</v>
      </c>
      <c r="G119" s="11">
        <v>968040</v>
      </c>
      <c r="H119" s="11">
        <v>23708</v>
      </c>
      <c r="I119" s="11">
        <v>6384</v>
      </c>
      <c r="J119" s="11">
        <v>1796</v>
      </c>
      <c r="K119" s="11">
        <v>22781</v>
      </c>
      <c r="L119" s="11">
        <v>145813</v>
      </c>
      <c r="M119" s="11">
        <v>3478</v>
      </c>
      <c r="N119" s="11">
        <v>5603</v>
      </c>
      <c r="O119" s="11">
        <v>22163</v>
      </c>
      <c r="P119" s="11">
        <v>49585</v>
      </c>
      <c r="Q119" s="11">
        <v>120</v>
      </c>
      <c r="R119" s="11">
        <v>39624</v>
      </c>
      <c r="S119" s="11">
        <v>105814</v>
      </c>
      <c r="T119" s="11">
        <v>85243</v>
      </c>
      <c r="U119" s="11">
        <v>92621</v>
      </c>
      <c r="V119" s="11">
        <v>688</v>
      </c>
      <c r="W119" s="11">
        <v>5642</v>
      </c>
      <c r="X119" s="11">
        <v>14</v>
      </c>
      <c r="Y119" s="11">
        <v>142432</v>
      </c>
      <c r="Z119" s="11">
        <v>519</v>
      </c>
      <c r="AA119" s="11">
        <v>43827</v>
      </c>
      <c r="AB119" s="11">
        <v>20518</v>
      </c>
      <c r="AC119" s="11">
        <v>13945</v>
      </c>
      <c r="AD119" s="11">
        <v>14987</v>
      </c>
      <c r="AE119" s="11">
        <v>1868</v>
      </c>
      <c r="AF119" s="11">
        <v>21878</v>
      </c>
      <c r="AG119" s="11">
        <v>12910</v>
      </c>
      <c r="AH119" s="11">
        <v>14733</v>
      </c>
      <c r="AI119" s="11">
        <v>24659</v>
      </c>
      <c r="AJ119" s="11">
        <v>38910</v>
      </c>
      <c r="AK119" s="11">
        <v>2493</v>
      </c>
      <c r="AL119" s="12">
        <v>3284</v>
      </c>
    </row>
    <row r="120" spans="1:38" x14ac:dyDescent="0.25">
      <c r="A120" s="2">
        <v>119</v>
      </c>
      <c r="B120" s="3" t="s">
        <v>271</v>
      </c>
      <c r="C120" s="2" t="s">
        <v>272</v>
      </c>
      <c r="D120" s="13">
        <f>_xlfn.XLOOKUP(Table1[[#This Row],[Country / Territory]],[1]!Table9[Country],[1]!Table9[Total Pop],"None",0)</f>
        <v>67648494</v>
      </c>
      <c r="E120" s="13">
        <f>_xlfn.XLOOKUP(Table1[[#This Row],[Country / Territory]],[1]!Table9[Country],[1]!Table9[Total F],"None",0)</f>
        <v>36516782</v>
      </c>
      <c r="F120" s="13">
        <f>_xlfn.XLOOKUP(Table1[[#This Row],[Country / Territory]],[1]!Table9[Country],[1]!Table9[Total M],"None",0)</f>
        <v>31131712</v>
      </c>
      <c r="G120" s="9">
        <v>929223</v>
      </c>
      <c r="H120" s="9">
        <v>728</v>
      </c>
      <c r="I120" s="9">
        <v>23112</v>
      </c>
      <c r="J120" s="9">
        <v>5117</v>
      </c>
      <c r="K120" s="9">
        <v>303</v>
      </c>
      <c r="L120" s="9">
        <v>0</v>
      </c>
      <c r="M120" s="9">
        <v>8473</v>
      </c>
      <c r="N120" s="9">
        <v>8685</v>
      </c>
      <c r="O120" s="9">
        <v>151</v>
      </c>
      <c r="P120" s="9">
        <v>3033</v>
      </c>
      <c r="Q120" s="9">
        <v>1657</v>
      </c>
      <c r="R120" s="9">
        <v>4160</v>
      </c>
      <c r="S120" s="9">
        <v>544361</v>
      </c>
      <c r="T120" s="9">
        <v>13047</v>
      </c>
      <c r="U120" s="9">
        <v>2705</v>
      </c>
      <c r="V120" s="9">
        <v>10957</v>
      </c>
      <c r="W120" s="9">
        <v>21098</v>
      </c>
      <c r="X120" s="9">
        <v>10</v>
      </c>
      <c r="Y120" s="9">
        <v>155</v>
      </c>
      <c r="Z120" s="9">
        <v>6580</v>
      </c>
      <c r="AA120" s="9">
        <v>176973</v>
      </c>
      <c r="AB120" s="9">
        <v>9</v>
      </c>
      <c r="AC120" s="9">
        <v>9100</v>
      </c>
      <c r="AD120" s="9">
        <v>5191</v>
      </c>
      <c r="AE120" s="9">
        <v>1722</v>
      </c>
      <c r="AF120" s="9">
        <v>94</v>
      </c>
      <c r="AG120" s="9">
        <v>16013</v>
      </c>
      <c r="AH120" s="9">
        <v>15486</v>
      </c>
      <c r="AI120" s="9">
        <v>12609</v>
      </c>
      <c r="AJ120" s="9">
        <v>30628</v>
      </c>
      <c r="AK120" s="9">
        <v>6883</v>
      </c>
      <c r="AL120" s="10">
        <v>183</v>
      </c>
    </row>
    <row r="121" spans="1:38" x14ac:dyDescent="0.25">
      <c r="A121" s="4">
        <v>120</v>
      </c>
      <c r="B121" s="5" t="s">
        <v>273</v>
      </c>
      <c r="C121" s="4" t="s">
        <v>274</v>
      </c>
      <c r="D121" s="13">
        <f>_xlfn.XLOOKUP(Table1[[#This Row],[Country / Territory]],[1]!Table9[Country],[1]!Table9[Total Pop],"None",0)</f>
        <v>59988939</v>
      </c>
      <c r="E121" s="13">
        <f>_xlfn.XLOOKUP(Table1[[#This Row],[Country / Territory]],[1]!Table9[Country],[1]!Table9[Total F],"None",0)</f>
        <v>30806904</v>
      </c>
      <c r="F121" s="13">
        <f>_xlfn.XLOOKUP(Table1[[#This Row],[Country / Territory]],[1]!Table9[Country],[1]!Table9[Total M],"None",0)</f>
        <v>29182035</v>
      </c>
      <c r="G121" s="11">
        <v>924731</v>
      </c>
      <c r="H121" s="11">
        <v>5587</v>
      </c>
      <c r="I121" s="11">
        <v>4029</v>
      </c>
      <c r="J121" s="11">
        <v>950</v>
      </c>
      <c r="K121" s="11">
        <v>7255</v>
      </c>
      <c r="L121" s="11">
        <v>0</v>
      </c>
      <c r="M121" s="11">
        <v>2953</v>
      </c>
      <c r="N121" s="11">
        <v>19200</v>
      </c>
      <c r="O121" s="11">
        <v>4597</v>
      </c>
      <c r="P121" s="11">
        <v>322742</v>
      </c>
      <c r="Q121" s="11">
        <v>149</v>
      </c>
      <c r="R121" s="11">
        <v>73453</v>
      </c>
      <c r="S121" s="11">
        <v>105072</v>
      </c>
      <c r="T121" s="11">
        <v>58784</v>
      </c>
      <c r="U121" s="11">
        <v>49731</v>
      </c>
      <c r="V121" s="11">
        <v>808</v>
      </c>
      <c r="W121" s="11">
        <v>16070</v>
      </c>
      <c r="X121" s="11">
        <v>49</v>
      </c>
      <c r="Y121" s="11">
        <v>60502</v>
      </c>
      <c r="Z121" s="11">
        <v>708</v>
      </c>
      <c r="AA121" s="11">
        <v>50752</v>
      </c>
      <c r="AB121" s="11">
        <v>151</v>
      </c>
      <c r="AC121" s="11">
        <v>26695</v>
      </c>
      <c r="AD121" s="11">
        <v>12162</v>
      </c>
      <c r="AE121" s="11">
        <v>1276</v>
      </c>
      <c r="AF121" s="11">
        <v>7057</v>
      </c>
      <c r="AG121" s="11">
        <v>21479</v>
      </c>
      <c r="AH121" s="11">
        <v>33797</v>
      </c>
      <c r="AI121" s="11">
        <v>10825</v>
      </c>
      <c r="AJ121" s="11">
        <v>23737</v>
      </c>
      <c r="AK121" s="11">
        <v>3124</v>
      </c>
      <c r="AL121" s="12">
        <v>1037</v>
      </c>
    </row>
    <row r="122" spans="1:38" x14ac:dyDescent="0.25">
      <c r="A122" s="2">
        <v>121</v>
      </c>
      <c r="B122" s="3" t="s">
        <v>275</v>
      </c>
      <c r="C122" s="2" t="s">
        <v>276</v>
      </c>
      <c r="D122" s="13">
        <f>_xlfn.XLOOKUP(Table1[[#This Row],[Country / Territory]],[1]!Table9[Country],[1]!Table9[Total Pop],"None",0)</f>
        <v>153107464</v>
      </c>
      <c r="E122" s="13">
        <f>_xlfn.XLOOKUP(Table1[[#This Row],[Country / Territory]],[1]!Table9[Country],[1]!Table9[Total F],"None",0)</f>
        <v>77834513</v>
      </c>
      <c r="F122" s="13">
        <f>_xlfn.XLOOKUP(Table1[[#This Row],[Country / Territory]],[1]!Table9[Country],[1]!Table9[Total M],"None",0)</f>
        <v>75272951</v>
      </c>
      <c r="G122" s="9">
        <v>919328</v>
      </c>
      <c r="H122" s="9">
        <v>3466</v>
      </c>
      <c r="I122" s="9">
        <v>11089</v>
      </c>
      <c r="J122" s="9">
        <v>2110</v>
      </c>
      <c r="K122" s="9">
        <v>658</v>
      </c>
      <c r="L122" s="9">
        <v>12</v>
      </c>
      <c r="M122" s="9">
        <v>10055</v>
      </c>
      <c r="N122" s="9">
        <v>6628</v>
      </c>
      <c r="O122" s="9">
        <v>1915</v>
      </c>
      <c r="P122" s="9">
        <v>3950</v>
      </c>
      <c r="Q122" s="9">
        <v>1062</v>
      </c>
      <c r="R122" s="9">
        <v>18010</v>
      </c>
      <c r="S122" s="9">
        <v>438094</v>
      </c>
      <c r="T122" s="9">
        <v>82139</v>
      </c>
      <c r="U122" s="9">
        <v>44678</v>
      </c>
      <c r="V122" s="9">
        <v>5519</v>
      </c>
      <c r="W122" s="9">
        <v>12905</v>
      </c>
      <c r="X122" s="9">
        <v>17</v>
      </c>
      <c r="Y122" s="9">
        <v>16771</v>
      </c>
      <c r="Z122" s="9">
        <v>2709</v>
      </c>
      <c r="AA122" s="9">
        <v>80874</v>
      </c>
      <c r="AB122" s="9">
        <v>1200</v>
      </c>
      <c r="AC122" s="9">
        <v>14135</v>
      </c>
      <c r="AD122" s="9">
        <v>15320</v>
      </c>
      <c r="AE122" s="9">
        <v>1539</v>
      </c>
      <c r="AF122" s="9">
        <v>298</v>
      </c>
      <c r="AG122" s="9">
        <v>12756</v>
      </c>
      <c r="AH122" s="9">
        <v>16561</v>
      </c>
      <c r="AI122" s="9">
        <v>48047</v>
      </c>
      <c r="AJ122" s="9">
        <v>57210</v>
      </c>
      <c r="AK122" s="9">
        <v>6842</v>
      </c>
      <c r="AL122" s="10">
        <v>2759</v>
      </c>
    </row>
    <row r="123" spans="1:38" x14ac:dyDescent="0.25">
      <c r="A123" s="4">
        <v>122</v>
      </c>
      <c r="B123" s="5" t="s">
        <v>277</v>
      </c>
      <c r="C123" s="4" t="s">
        <v>278</v>
      </c>
      <c r="D123" s="13">
        <f>_xlfn.XLOOKUP(Table1[[#This Row],[Country / Territory]],[1]!Table9[Country],[1]!Table9[Total Pop],"None",0)</f>
        <v>98284353</v>
      </c>
      <c r="E123" s="13">
        <f>_xlfn.XLOOKUP(Table1[[#This Row],[Country / Territory]],[1]!Table9[Country],[1]!Table9[Total F],"None",0)</f>
        <v>50570646</v>
      </c>
      <c r="F123" s="13">
        <f>_xlfn.XLOOKUP(Table1[[#This Row],[Country / Territory]],[1]!Table9[Country],[1]!Table9[Total M],"None",0)</f>
        <v>47713707</v>
      </c>
      <c r="G123" s="11">
        <v>905972</v>
      </c>
      <c r="H123" s="11">
        <v>1399</v>
      </c>
      <c r="I123" s="11">
        <v>33199</v>
      </c>
      <c r="J123" s="11">
        <v>8336</v>
      </c>
      <c r="K123" s="11">
        <v>3202</v>
      </c>
      <c r="L123" s="11">
        <v>0</v>
      </c>
      <c r="M123" s="11">
        <v>3362</v>
      </c>
      <c r="N123" s="11">
        <v>5354</v>
      </c>
      <c r="O123" s="11">
        <v>433</v>
      </c>
      <c r="P123" s="11">
        <v>4365</v>
      </c>
      <c r="Q123" s="11">
        <v>276</v>
      </c>
      <c r="R123" s="11">
        <v>2664</v>
      </c>
      <c r="S123" s="11">
        <v>316537</v>
      </c>
      <c r="T123" s="11">
        <v>39468</v>
      </c>
      <c r="U123" s="11">
        <v>10213</v>
      </c>
      <c r="V123" s="11">
        <v>2579</v>
      </c>
      <c r="W123" s="11">
        <v>17501</v>
      </c>
      <c r="X123" s="11">
        <v>23</v>
      </c>
      <c r="Y123" s="11">
        <v>3970</v>
      </c>
      <c r="Z123" s="11">
        <v>191</v>
      </c>
      <c r="AA123" s="11">
        <v>272842</v>
      </c>
      <c r="AB123" s="11">
        <v>3</v>
      </c>
      <c r="AC123" s="11">
        <v>22890</v>
      </c>
      <c r="AD123" s="11">
        <v>21596</v>
      </c>
      <c r="AE123" s="11">
        <v>570</v>
      </c>
      <c r="AF123" s="11">
        <v>2547</v>
      </c>
      <c r="AG123" s="11">
        <v>17244</v>
      </c>
      <c r="AH123" s="11">
        <v>55096</v>
      </c>
      <c r="AI123" s="11">
        <v>15006</v>
      </c>
      <c r="AJ123" s="11">
        <v>43043</v>
      </c>
      <c r="AK123" s="11">
        <v>1995</v>
      </c>
      <c r="AL123" s="12">
        <v>68</v>
      </c>
    </row>
    <row r="124" spans="1:38" x14ac:dyDescent="0.25">
      <c r="A124" s="2">
        <v>123</v>
      </c>
      <c r="B124" s="3" t="s">
        <v>279</v>
      </c>
      <c r="C124" s="2" t="s">
        <v>280</v>
      </c>
      <c r="D124" s="13">
        <f>_xlfn.XLOOKUP(Table1[[#This Row],[Country / Territory]],[1]!Table9[Country],[1]!Table9[Total Pop],"None",0)</f>
        <v>124876733</v>
      </c>
      <c r="E124" s="13">
        <f>_xlfn.XLOOKUP(Table1[[#This Row],[Country / Territory]],[1]!Table9[Country],[1]!Table9[Total F],"None",0)</f>
        <v>62840559</v>
      </c>
      <c r="F124" s="13">
        <f>_xlfn.XLOOKUP(Table1[[#This Row],[Country / Territory]],[1]!Table9[Country],[1]!Table9[Total M],"None",0)</f>
        <v>62036174</v>
      </c>
      <c r="G124" s="9">
        <v>861097</v>
      </c>
      <c r="H124" s="9">
        <v>622</v>
      </c>
      <c r="I124" s="9">
        <v>32298</v>
      </c>
      <c r="J124" s="9">
        <v>8110</v>
      </c>
      <c r="K124" s="9">
        <v>396</v>
      </c>
      <c r="L124" s="9">
        <v>0</v>
      </c>
      <c r="M124" s="9">
        <v>1768</v>
      </c>
      <c r="N124" s="9">
        <v>1132</v>
      </c>
      <c r="O124" s="9">
        <v>81</v>
      </c>
      <c r="P124" s="9">
        <v>510</v>
      </c>
      <c r="Q124" s="9">
        <v>3978</v>
      </c>
      <c r="R124" s="9">
        <v>1300</v>
      </c>
      <c r="S124" s="9">
        <v>334089</v>
      </c>
      <c r="T124" s="9">
        <v>54142</v>
      </c>
      <c r="U124" s="9">
        <v>3418</v>
      </c>
      <c r="V124" s="9">
        <v>2545</v>
      </c>
      <c r="W124" s="9">
        <v>14753</v>
      </c>
      <c r="X124" s="9">
        <v>20</v>
      </c>
      <c r="Y124" s="9">
        <v>785</v>
      </c>
      <c r="Z124" s="9">
        <v>320</v>
      </c>
      <c r="AA124" s="9">
        <v>252493</v>
      </c>
      <c r="AB124" s="9">
        <v>16</v>
      </c>
      <c r="AC124" s="9">
        <v>13527</v>
      </c>
      <c r="AD124" s="9">
        <v>15477</v>
      </c>
      <c r="AE124" s="9">
        <v>405</v>
      </c>
      <c r="AF124" s="9">
        <v>187</v>
      </c>
      <c r="AG124" s="9">
        <v>9708</v>
      </c>
      <c r="AH124" s="9">
        <v>67264</v>
      </c>
      <c r="AI124" s="9">
        <v>9614</v>
      </c>
      <c r="AJ124" s="9">
        <v>30682</v>
      </c>
      <c r="AK124" s="9">
        <v>1422</v>
      </c>
      <c r="AL124" s="10">
        <v>35</v>
      </c>
    </row>
    <row r="125" spans="1:38" x14ac:dyDescent="0.25">
      <c r="A125" s="4">
        <v>124</v>
      </c>
      <c r="B125" s="5" t="s">
        <v>281</v>
      </c>
      <c r="C125" s="4" t="s">
        <v>282</v>
      </c>
      <c r="D125" s="13">
        <f>_xlfn.XLOOKUP(Table1[[#This Row],[Country / Territory]],[1]!Table9[Country],[1]!Table9[Total Pop],"None",0)</f>
        <v>110029525</v>
      </c>
      <c r="E125" s="13">
        <f>_xlfn.XLOOKUP(Table1[[#This Row],[Country / Territory]],[1]!Table9[Country],[1]!Table9[Total F],"None",0)</f>
        <v>57203865</v>
      </c>
      <c r="F125" s="13">
        <f>_xlfn.XLOOKUP(Table1[[#This Row],[Country / Territory]],[1]!Table9[Country],[1]!Table9[Total M],"None",0)</f>
        <v>52825660</v>
      </c>
      <c r="G125" s="11">
        <v>854186</v>
      </c>
      <c r="H125" s="11">
        <v>593</v>
      </c>
      <c r="I125" s="11">
        <v>38346</v>
      </c>
      <c r="J125" s="11">
        <v>7318</v>
      </c>
      <c r="K125" s="11">
        <v>2549</v>
      </c>
      <c r="L125" s="11">
        <v>0</v>
      </c>
      <c r="M125" s="11">
        <v>1565</v>
      </c>
      <c r="N125" s="11">
        <v>25511</v>
      </c>
      <c r="O125" s="11">
        <v>322</v>
      </c>
      <c r="P125" s="11">
        <v>20337</v>
      </c>
      <c r="Q125" s="11">
        <v>4600</v>
      </c>
      <c r="R125" s="11">
        <v>1233</v>
      </c>
      <c r="S125" s="11">
        <v>245108</v>
      </c>
      <c r="T125" s="11">
        <v>37557</v>
      </c>
      <c r="U125" s="11">
        <v>9193</v>
      </c>
      <c r="V125" s="11">
        <v>5422</v>
      </c>
      <c r="W125" s="11">
        <v>9228</v>
      </c>
      <c r="X125" s="11">
        <v>2400</v>
      </c>
      <c r="Y125" s="11">
        <v>1876</v>
      </c>
      <c r="Z125" s="11">
        <v>126</v>
      </c>
      <c r="AA125" s="11">
        <v>170695</v>
      </c>
      <c r="AB125" s="11">
        <v>56</v>
      </c>
      <c r="AC125" s="11">
        <v>82187</v>
      </c>
      <c r="AD125" s="11">
        <v>41444</v>
      </c>
      <c r="AE125" s="11">
        <v>600</v>
      </c>
      <c r="AF125" s="11">
        <v>2307</v>
      </c>
      <c r="AG125" s="11">
        <v>17447</v>
      </c>
      <c r="AH125" s="11">
        <v>44738</v>
      </c>
      <c r="AI125" s="11">
        <v>31575</v>
      </c>
      <c r="AJ125" s="11">
        <v>48552</v>
      </c>
      <c r="AK125" s="11">
        <v>1113</v>
      </c>
      <c r="AL125" s="12">
        <v>188</v>
      </c>
    </row>
    <row r="126" spans="1:38" x14ac:dyDescent="0.25">
      <c r="A126" s="2">
        <v>125</v>
      </c>
      <c r="B126" s="3" t="s">
        <v>283</v>
      </c>
      <c r="C126" s="2" t="s">
        <v>284</v>
      </c>
      <c r="D126" s="13">
        <f>_xlfn.XLOOKUP(Table1[[#This Row],[Country / Territory]],[1]!Table9[Country],[1]!Table9[Total Pop],"None",0)</f>
        <v>123401100</v>
      </c>
      <c r="E126" s="13">
        <f>_xlfn.XLOOKUP(Table1[[#This Row],[Country / Territory]],[1]!Table9[Country],[1]!Table9[Total F],"None",0)</f>
        <v>62752481</v>
      </c>
      <c r="F126" s="13">
        <f>_xlfn.XLOOKUP(Table1[[#This Row],[Country / Territory]],[1]!Table9[Country],[1]!Table9[Total M],"None",0)</f>
        <v>60648619</v>
      </c>
      <c r="G126" s="9">
        <v>819244</v>
      </c>
      <c r="H126" s="9">
        <v>682</v>
      </c>
      <c r="I126" s="9">
        <v>40940</v>
      </c>
      <c r="J126" s="9">
        <v>8236</v>
      </c>
      <c r="K126" s="9">
        <v>356</v>
      </c>
      <c r="L126" s="9">
        <v>0</v>
      </c>
      <c r="M126" s="9">
        <v>1788</v>
      </c>
      <c r="N126" s="9">
        <v>1934</v>
      </c>
      <c r="O126" s="9">
        <v>199</v>
      </c>
      <c r="P126" s="9">
        <v>671</v>
      </c>
      <c r="Q126" s="9">
        <v>1411</v>
      </c>
      <c r="R126" s="9">
        <v>678</v>
      </c>
      <c r="S126" s="9">
        <v>328560</v>
      </c>
      <c r="T126" s="9">
        <v>21517</v>
      </c>
      <c r="U126" s="9">
        <v>4225</v>
      </c>
      <c r="V126" s="9">
        <v>1301</v>
      </c>
      <c r="W126" s="9">
        <v>15897</v>
      </c>
      <c r="X126" s="9">
        <v>287</v>
      </c>
      <c r="Y126" s="9">
        <v>1243</v>
      </c>
      <c r="Z126" s="9">
        <v>181</v>
      </c>
      <c r="AA126" s="9">
        <v>247515</v>
      </c>
      <c r="AB126" s="9">
        <v>0</v>
      </c>
      <c r="AC126" s="9">
        <v>17532</v>
      </c>
      <c r="AD126" s="9">
        <v>17445</v>
      </c>
      <c r="AE126" s="9">
        <v>250</v>
      </c>
      <c r="AF126" s="9">
        <v>252</v>
      </c>
      <c r="AG126" s="9">
        <v>14739</v>
      </c>
      <c r="AH126" s="9">
        <v>57809</v>
      </c>
      <c r="AI126" s="9">
        <v>7172</v>
      </c>
      <c r="AJ126" s="9">
        <v>25560</v>
      </c>
      <c r="AK126" s="9">
        <v>822</v>
      </c>
      <c r="AL126" s="10">
        <v>42</v>
      </c>
    </row>
    <row r="127" spans="1:38" x14ac:dyDescent="0.25">
      <c r="A127" s="4">
        <v>126</v>
      </c>
      <c r="B127" s="5" t="s">
        <v>285</v>
      </c>
      <c r="C127" s="4" t="s">
        <v>286</v>
      </c>
      <c r="D127" s="13">
        <f>_xlfn.XLOOKUP(Table1[[#This Row],[Country / Territory]],[1]!Table9[Country],[1]!Table9[Total Pop],"None",0)</f>
        <v>95318700</v>
      </c>
      <c r="E127" s="13">
        <f>_xlfn.XLOOKUP(Table1[[#This Row],[Country / Territory]],[1]!Table9[Country],[1]!Table9[Total F],"None",0)</f>
        <v>50785552</v>
      </c>
      <c r="F127" s="13">
        <f>_xlfn.XLOOKUP(Table1[[#This Row],[Country / Territory]],[1]!Table9[Country],[1]!Table9[Total M],"None",0)</f>
        <v>44533148</v>
      </c>
      <c r="G127" s="11">
        <v>783174</v>
      </c>
      <c r="H127" s="11">
        <v>423</v>
      </c>
      <c r="I127" s="11">
        <v>15714</v>
      </c>
      <c r="J127" s="11">
        <v>3739</v>
      </c>
      <c r="K127" s="11">
        <v>817</v>
      </c>
      <c r="L127" s="11">
        <v>5</v>
      </c>
      <c r="M127" s="11">
        <v>4519</v>
      </c>
      <c r="N127" s="11">
        <v>5250</v>
      </c>
      <c r="O127" s="11">
        <v>377</v>
      </c>
      <c r="P127" s="11">
        <v>264</v>
      </c>
      <c r="Q127" s="11">
        <v>225</v>
      </c>
      <c r="R127" s="11">
        <v>3830</v>
      </c>
      <c r="S127" s="11">
        <v>388635</v>
      </c>
      <c r="T127" s="11">
        <v>18723</v>
      </c>
      <c r="U127" s="11">
        <v>14572</v>
      </c>
      <c r="V127" s="11">
        <v>2592</v>
      </c>
      <c r="W127" s="11">
        <v>6308</v>
      </c>
      <c r="X127" s="11">
        <v>13</v>
      </c>
      <c r="Y127" s="11">
        <v>3402</v>
      </c>
      <c r="Z127" s="11">
        <v>4172</v>
      </c>
      <c r="AA127" s="11">
        <v>154102</v>
      </c>
      <c r="AB127" s="11">
        <v>357</v>
      </c>
      <c r="AC127" s="11">
        <v>34565</v>
      </c>
      <c r="AD127" s="11">
        <v>7571</v>
      </c>
      <c r="AE127" s="11">
        <v>1182</v>
      </c>
      <c r="AF127" s="11">
        <v>324</v>
      </c>
      <c r="AG127" s="11">
        <v>10213</v>
      </c>
      <c r="AH127" s="11">
        <v>35416</v>
      </c>
      <c r="AI127" s="11">
        <v>24100</v>
      </c>
      <c r="AJ127" s="11">
        <v>38666</v>
      </c>
      <c r="AK127" s="11">
        <v>2944</v>
      </c>
      <c r="AL127" s="12">
        <v>154</v>
      </c>
    </row>
    <row r="128" spans="1:38" x14ac:dyDescent="0.25">
      <c r="A128" s="2">
        <v>127</v>
      </c>
      <c r="B128" s="3" t="s">
        <v>287</v>
      </c>
      <c r="C128" s="2" t="s">
        <v>288</v>
      </c>
      <c r="D128" s="13">
        <f>_xlfn.XLOOKUP(Table1[[#This Row],[Country / Territory]],[1]!Table9[Country],[1]!Table9[Total Pop],"None",0)</f>
        <v>143963775</v>
      </c>
      <c r="E128" s="13">
        <f>_xlfn.XLOOKUP(Table1[[#This Row],[Country / Territory]],[1]!Table9[Country],[1]!Table9[Total F],"None",0)</f>
        <v>72606672</v>
      </c>
      <c r="F128" s="13">
        <f>_xlfn.XLOOKUP(Table1[[#This Row],[Country / Territory]],[1]!Table9[Country],[1]!Table9[Total M],"None",0)</f>
        <v>71357103</v>
      </c>
      <c r="G128" s="9">
        <v>744775</v>
      </c>
      <c r="H128" s="9">
        <v>1274</v>
      </c>
      <c r="I128" s="9">
        <v>21842</v>
      </c>
      <c r="J128" s="9">
        <v>4369</v>
      </c>
      <c r="K128" s="9">
        <v>402</v>
      </c>
      <c r="L128" s="9">
        <v>0</v>
      </c>
      <c r="M128" s="9">
        <v>1838</v>
      </c>
      <c r="N128" s="9">
        <v>8275</v>
      </c>
      <c r="O128" s="9">
        <v>789</v>
      </c>
      <c r="P128" s="9">
        <v>1906</v>
      </c>
      <c r="Q128" s="9">
        <v>1860</v>
      </c>
      <c r="R128" s="9">
        <v>1710</v>
      </c>
      <c r="S128" s="9">
        <v>362107</v>
      </c>
      <c r="T128" s="9">
        <v>22009</v>
      </c>
      <c r="U128" s="9">
        <v>25063</v>
      </c>
      <c r="V128" s="9">
        <v>363</v>
      </c>
      <c r="W128" s="9">
        <v>4291</v>
      </c>
      <c r="X128" s="9">
        <v>48</v>
      </c>
      <c r="Y128" s="9">
        <v>2263</v>
      </c>
      <c r="Z128" s="9">
        <v>90</v>
      </c>
      <c r="AA128" s="9">
        <v>151517</v>
      </c>
      <c r="AB128" s="9">
        <v>4927</v>
      </c>
      <c r="AC128" s="9">
        <v>18508</v>
      </c>
      <c r="AD128" s="9">
        <v>25459</v>
      </c>
      <c r="AE128" s="9">
        <v>970</v>
      </c>
      <c r="AF128" s="9">
        <v>339</v>
      </c>
      <c r="AG128" s="9">
        <v>11511</v>
      </c>
      <c r="AH128" s="9">
        <v>28211</v>
      </c>
      <c r="AI128" s="9">
        <v>13849</v>
      </c>
      <c r="AJ128" s="9">
        <v>21986</v>
      </c>
      <c r="AK128" s="9">
        <v>2618</v>
      </c>
      <c r="AL128" s="10">
        <v>4381</v>
      </c>
    </row>
    <row r="129" spans="1:38" x14ac:dyDescent="0.25">
      <c r="A129" s="4">
        <v>128</v>
      </c>
      <c r="B129" s="5" t="s">
        <v>289</v>
      </c>
      <c r="C129" s="4" t="s">
        <v>290</v>
      </c>
      <c r="D129" s="13">
        <f>_xlfn.XLOOKUP(Table1[[#This Row],[Country / Territory]],[1]!Table9[Country],[1]!Table9[Total Pop],"None",0)</f>
        <v>160485872</v>
      </c>
      <c r="E129" s="13">
        <f>_xlfn.XLOOKUP(Table1[[#This Row],[Country / Territory]],[1]!Table9[Country],[1]!Table9[Total F],"None",0)</f>
        <v>79567020</v>
      </c>
      <c r="F129" s="13">
        <f>_xlfn.XLOOKUP(Table1[[#This Row],[Country / Territory]],[1]!Table9[Country],[1]!Table9[Total M],"None",0)</f>
        <v>80918852</v>
      </c>
      <c r="G129" s="11">
        <v>701474</v>
      </c>
      <c r="H129" s="11">
        <v>3527</v>
      </c>
      <c r="I129" s="11">
        <v>24340</v>
      </c>
      <c r="J129" s="11">
        <v>4019</v>
      </c>
      <c r="K129" s="11">
        <v>6825</v>
      </c>
      <c r="L129" s="11">
        <v>21</v>
      </c>
      <c r="M129" s="11">
        <v>4752</v>
      </c>
      <c r="N129" s="11">
        <v>21556</v>
      </c>
      <c r="O129" s="11">
        <v>4264</v>
      </c>
      <c r="P129" s="11">
        <v>10234</v>
      </c>
      <c r="Q129" s="11">
        <v>209</v>
      </c>
      <c r="R129" s="11">
        <v>7227</v>
      </c>
      <c r="S129" s="11">
        <v>213030</v>
      </c>
      <c r="T129" s="11">
        <v>38303</v>
      </c>
      <c r="U129" s="11">
        <v>37494</v>
      </c>
      <c r="V129" s="11">
        <v>4506</v>
      </c>
      <c r="W129" s="11">
        <v>8268</v>
      </c>
      <c r="X129" s="11">
        <v>166</v>
      </c>
      <c r="Y129" s="11">
        <v>11878</v>
      </c>
      <c r="Z129" s="11">
        <v>141</v>
      </c>
      <c r="AA129" s="11">
        <v>118741</v>
      </c>
      <c r="AB129" s="11">
        <v>69</v>
      </c>
      <c r="AC129" s="11">
        <v>42714</v>
      </c>
      <c r="AD129" s="11">
        <v>30102</v>
      </c>
      <c r="AE129" s="11">
        <v>441</v>
      </c>
      <c r="AF129" s="11">
        <v>6707</v>
      </c>
      <c r="AG129" s="11">
        <v>30291</v>
      </c>
      <c r="AH129" s="11">
        <v>21518</v>
      </c>
      <c r="AI129" s="11">
        <v>14728</v>
      </c>
      <c r="AJ129" s="11">
        <v>33720</v>
      </c>
      <c r="AK129" s="11">
        <v>1597</v>
      </c>
      <c r="AL129" s="12">
        <v>86</v>
      </c>
    </row>
    <row r="130" spans="1:38" x14ac:dyDescent="0.25">
      <c r="A130" s="2">
        <v>129</v>
      </c>
      <c r="B130" s="3" t="s">
        <v>291</v>
      </c>
      <c r="C130" s="2" t="s">
        <v>292</v>
      </c>
      <c r="D130" s="13">
        <f>_xlfn.XLOOKUP(Table1[[#This Row],[Country / Territory]],[1]!Table9[Country],[1]!Table9[Total Pop],"None",0)</f>
        <v>160128236</v>
      </c>
      <c r="E130" s="13">
        <f>_xlfn.XLOOKUP(Table1[[#This Row],[Country / Territory]],[1]!Table9[Country],[1]!Table9[Total F],"None",0)</f>
        <v>81508288</v>
      </c>
      <c r="F130" s="13">
        <f>_xlfn.XLOOKUP(Table1[[#This Row],[Country / Territory]],[1]!Table9[Country],[1]!Table9[Total M],"None",0)</f>
        <v>78619948</v>
      </c>
      <c r="G130" s="9">
        <v>670896</v>
      </c>
      <c r="H130" s="9">
        <v>4238</v>
      </c>
      <c r="I130" s="9">
        <v>13636</v>
      </c>
      <c r="J130" s="9">
        <v>4081</v>
      </c>
      <c r="K130" s="9">
        <v>8905</v>
      </c>
      <c r="L130" s="9">
        <v>286</v>
      </c>
      <c r="M130" s="9">
        <v>5214</v>
      </c>
      <c r="N130" s="9">
        <v>12919</v>
      </c>
      <c r="O130" s="9">
        <v>2710</v>
      </c>
      <c r="P130" s="9">
        <v>6618</v>
      </c>
      <c r="Q130" s="9">
        <v>255</v>
      </c>
      <c r="R130" s="9">
        <v>7083</v>
      </c>
      <c r="S130" s="9">
        <v>168887</v>
      </c>
      <c r="T130" s="9">
        <v>37149</v>
      </c>
      <c r="U130" s="9">
        <v>41187</v>
      </c>
      <c r="V130" s="9">
        <v>8106</v>
      </c>
      <c r="W130" s="9">
        <v>9281</v>
      </c>
      <c r="X130" s="9">
        <v>4855</v>
      </c>
      <c r="Y130" s="9">
        <v>25264</v>
      </c>
      <c r="Z130" s="9">
        <v>87</v>
      </c>
      <c r="AA130" s="9">
        <v>86863</v>
      </c>
      <c r="AB130" s="9">
        <v>329</v>
      </c>
      <c r="AC130" s="9">
        <v>34246</v>
      </c>
      <c r="AD130" s="9">
        <v>57195</v>
      </c>
      <c r="AE130" s="9">
        <v>822</v>
      </c>
      <c r="AF130" s="9">
        <v>8855</v>
      </c>
      <c r="AG130" s="9">
        <v>18379</v>
      </c>
      <c r="AH130" s="9">
        <v>27119</v>
      </c>
      <c r="AI130" s="9">
        <v>30148</v>
      </c>
      <c r="AJ130" s="9">
        <v>45063</v>
      </c>
      <c r="AK130" s="9">
        <v>833</v>
      </c>
      <c r="AL130" s="10">
        <v>283</v>
      </c>
    </row>
    <row r="131" spans="1:38" x14ac:dyDescent="0.25">
      <c r="A131" s="4">
        <v>130</v>
      </c>
      <c r="B131" s="5" t="s">
        <v>293</v>
      </c>
      <c r="C131" s="4" t="s">
        <v>294</v>
      </c>
      <c r="D131" s="13">
        <f>_xlfn.XLOOKUP(Table1[[#This Row],[Country / Territory]],[1]!Table9[Country],[1]!Table9[Total Pop],"None",0)</f>
        <v>54910487</v>
      </c>
      <c r="E131" s="13">
        <f>_xlfn.XLOOKUP(Table1[[#This Row],[Country / Territory]],[1]!Table9[Country],[1]!Table9[Total F],"None",0)</f>
        <v>27847206</v>
      </c>
      <c r="F131" s="13">
        <f>_xlfn.XLOOKUP(Table1[[#This Row],[Country / Territory]],[1]!Table9[Country],[1]!Table9[Total M],"None",0)</f>
        <v>27063281</v>
      </c>
      <c r="G131" s="11">
        <v>652059</v>
      </c>
      <c r="H131" s="11">
        <v>3835</v>
      </c>
      <c r="I131" s="11">
        <v>2887</v>
      </c>
      <c r="J131" s="11">
        <v>807</v>
      </c>
      <c r="K131" s="11">
        <v>5394</v>
      </c>
      <c r="L131" s="11">
        <v>662</v>
      </c>
      <c r="M131" s="11">
        <v>2607</v>
      </c>
      <c r="N131" s="11">
        <v>9718</v>
      </c>
      <c r="O131" s="11">
        <v>2068</v>
      </c>
      <c r="P131" s="11">
        <v>263306</v>
      </c>
      <c r="Q131" s="11">
        <v>173</v>
      </c>
      <c r="R131" s="11">
        <v>29548</v>
      </c>
      <c r="S131" s="11">
        <v>81565</v>
      </c>
      <c r="T131" s="11">
        <v>39769</v>
      </c>
      <c r="U131" s="11">
        <v>27934</v>
      </c>
      <c r="V131" s="11">
        <v>665</v>
      </c>
      <c r="W131" s="11">
        <v>10560</v>
      </c>
      <c r="X131" s="11">
        <v>35</v>
      </c>
      <c r="Y131" s="11">
        <v>24860</v>
      </c>
      <c r="Z131" s="11">
        <v>576</v>
      </c>
      <c r="AA131" s="11">
        <v>42180</v>
      </c>
      <c r="AB131" s="11">
        <v>8</v>
      </c>
      <c r="AC131" s="11">
        <v>20696</v>
      </c>
      <c r="AD131" s="11">
        <v>8749</v>
      </c>
      <c r="AE131" s="11">
        <v>1091</v>
      </c>
      <c r="AF131" s="11">
        <v>5265</v>
      </c>
      <c r="AG131" s="11">
        <v>15000</v>
      </c>
      <c r="AH131" s="11">
        <v>18118</v>
      </c>
      <c r="AI131" s="11">
        <v>10592</v>
      </c>
      <c r="AJ131" s="11">
        <v>20318</v>
      </c>
      <c r="AK131" s="11">
        <v>2748</v>
      </c>
      <c r="AL131" s="12">
        <v>325</v>
      </c>
    </row>
    <row r="132" spans="1:38" x14ac:dyDescent="0.25">
      <c r="A132" s="2">
        <v>131</v>
      </c>
      <c r="B132" s="3" t="s">
        <v>295</v>
      </c>
      <c r="C132" s="2" t="s">
        <v>296</v>
      </c>
      <c r="D132" s="13">
        <f>_xlfn.XLOOKUP(Table1[[#This Row],[Country / Territory]],[1]!Table9[Country],[1]!Table9[Total Pop],"None",0)</f>
        <v>77494062</v>
      </c>
      <c r="E132" s="13">
        <f>_xlfn.XLOOKUP(Table1[[#This Row],[Country / Territory]],[1]!Table9[Country],[1]!Table9[Total F],"None",0)</f>
        <v>39205111</v>
      </c>
      <c r="F132" s="13">
        <f>_xlfn.XLOOKUP(Table1[[#This Row],[Country / Territory]],[1]!Table9[Country],[1]!Table9[Total M],"None",0)</f>
        <v>38288951</v>
      </c>
      <c r="G132" s="9">
        <v>643715</v>
      </c>
      <c r="H132" s="9">
        <v>4336</v>
      </c>
      <c r="I132" s="9">
        <v>4504</v>
      </c>
      <c r="J132" s="9">
        <v>1246</v>
      </c>
      <c r="K132" s="9">
        <v>691</v>
      </c>
      <c r="L132" s="9">
        <v>0</v>
      </c>
      <c r="M132" s="9">
        <v>5066</v>
      </c>
      <c r="N132" s="9">
        <v>8807</v>
      </c>
      <c r="O132" s="9">
        <v>2286</v>
      </c>
      <c r="P132" s="9">
        <v>180</v>
      </c>
      <c r="Q132" s="9">
        <v>386</v>
      </c>
      <c r="R132" s="9">
        <v>14616</v>
      </c>
      <c r="S132" s="9">
        <v>231046</v>
      </c>
      <c r="T132" s="9">
        <v>42949</v>
      </c>
      <c r="U132" s="9">
        <v>30005</v>
      </c>
      <c r="V132" s="9">
        <v>8973</v>
      </c>
      <c r="W132" s="9">
        <v>16429</v>
      </c>
      <c r="X132" s="9">
        <v>282</v>
      </c>
      <c r="Y132" s="9">
        <v>7025</v>
      </c>
      <c r="Z132" s="9">
        <v>7290</v>
      </c>
      <c r="AA132" s="9">
        <v>120092</v>
      </c>
      <c r="AB132" s="9">
        <v>156</v>
      </c>
      <c r="AC132" s="9">
        <v>2817</v>
      </c>
      <c r="AD132" s="9">
        <v>11467</v>
      </c>
      <c r="AE132" s="9">
        <v>4616</v>
      </c>
      <c r="AF132" s="9">
        <v>48</v>
      </c>
      <c r="AG132" s="9">
        <v>15241</v>
      </c>
      <c r="AH132" s="9">
        <v>13996</v>
      </c>
      <c r="AI132" s="9">
        <v>34731</v>
      </c>
      <c r="AJ132" s="9">
        <v>49936</v>
      </c>
      <c r="AK132" s="9">
        <v>2727</v>
      </c>
      <c r="AL132" s="10">
        <v>1771</v>
      </c>
    </row>
    <row r="133" spans="1:38" x14ac:dyDescent="0.25">
      <c r="A133" s="4">
        <v>132</v>
      </c>
      <c r="B133" s="5" t="s">
        <v>297</v>
      </c>
      <c r="C133" s="4" t="s">
        <v>298</v>
      </c>
      <c r="D133" s="13">
        <f>_xlfn.XLOOKUP(Table1[[#This Row],[Country / Territory]],[1]!Table9[Country],[1]!Table9[Total Pop],"None",0)</f>
        <v>172076409</v>
      </c>
      <c r="E133" s="13">
        <f>_xlfn.XLOOKUP(Table1[[#This Row],[Country / Territory]],[1]!Table9[Country],[1]!Table9[Total F],"None",0)</f>
        <v>82251170</v>
      </c>
      <c r="F133" s="13">
        <f>_xlfn.XLOOKUP(Table1[[#This Row],[Country / Territory]],[1]!Table9[Country],[1]!Table9[Total M],"None",0)</f>
        <v>89825239</v>
      </c>
      <c r="G133" s="11">
        <v>629916</v>
      </c>
      <c r="H133" s="11">
        <v>1690</v>
      </c>
      <c r="I133" s="11">
        <v>20235</v>
      </c>
      <c r="J133" s="11">
        <v>3497</v>
      </c>
      <c r="K133" s="11">
        <v>497</v>
      </c>
      <c r="L133" s="11">
        <v>0</v>
      </c>
      <c r="M133" s="11">
        <v>3293</v>
      </c>
      <c r="N133" s="11">
        <v>7862</v>
      </c>
      <c r="O133" s="11">
        <v>1019</v>
      </c>
      <c r="P133" s="11">
        <v>1352</v>
      </c>
      <c r="Q133" s="11">
        <v>3106</v>
      </c>
      <c r="R133" s="11">
        <v>2100</v>
      </c>
      <c r="S133" s="11">
        <v>238179</v>
      </c>
      <c r="T133" s="11">
        <v>20293</v>
      </c>
      <c r="U133" s="11">
        <v>35285</v>
      </c>
      <c r="V133" s="11">
        <v>470</v>
      </c>
      <c r="W133" s="11">
        <v>7492</v>
      </c>
      <c r="X133" s="11">
        <v>16</v>
      </c>
      <c r="Y133" s="11">
        <v>3715</v>
      </c>
      <c r="Z133" s="11">
        <v>126</v>
      </c>
      <c r="AA133" s="11">
        <v>98466</v>
      </c>
      <c r="AB133" s="11">
        <v>19696</v>
      </c>
      <c r="AC133" s="11">
        <v>14673</v>
      </c>
      <c r="AD133" s="11">
        <v>24380</v>
      </c>
      <c r="AE133" s="11">
        <v>1708</v>
      </c>
      <c r="AF133" s="11">
        <v>425</v>
      </c>
      <c r="AG133" s="11">
        <v>53596</v>
      </c>
      <c r="AH133" s="11">
        <v>22354</v>
      </c>
      <c r="AI133" s="11">
        <v>15449</v>
      </c>
      <c r="AJ133" s="11">
        <v>23870</v>
      </c>
      <c r="AK133" s="11">
        <v>3789</v>
      </c>
      <c r="AL133" s="12">
        <v>1283</v>
      </c>
    </row>
    <row r="134" spans="1:38" x14ac:dyDescent="0.25">
      <c r="A134" s="2">
        <v>133</v>
      </c>
      <c r="B134" s="3" t="s">
        <v>299</v>
      </c>
      <c r="C134" s="2" t="s">
        <v>300</v>
      </c>
      <c r="D134" s="13">
        <f>_xlfn.XLOOKUP(Table1[[#This Row],[Country / Territory]],[1]!Table9[Country],[1]!Table9[Total Pop],"None",0)</f>
        <v>59353975</v>
      </c>
      <c r="E134" s="13">
        <f>_xlfn.XLOOKUP(Table1[[#This Row],[Country / Territory]],[1]!Table9[Country],[1]!Table9[Total F],"None",0)</f>
        <v>30338676</v>
      </c>
      <c r="F134" s="13">
        <f>_xlfn.XLOOKUP(Table1[[#This Row],[Country / Territory]],[1]!Table9[Country],[1]!Table9[Total M],"None",0)</f>
        <v>29015299</v>
      </c>
      <c r="G134" s="9">
        <v>611955</v>
      </c>
      <c r="H134" s="9">
        <v>387</v>
      </c>
      <c r="I134" s="9">
        <v>9156</v>
      </c>
      <c r="J134" s="9">
        <v>3887</v>
      </c>
      <c r="K134" s="9">
        <v>37</v>
      </c>
      <c r="L134" s="9">
        <v>0</v>
      </c>
      <c r="M134" s="9">
        <v>816</v>
      </c>
      <c r="N134" s="9">
        <v>1850</v>
      </c>
      <c r="O134" s="9">
        <v>92</v>
      </c>
      <c r="P134" s="9">
        <v>56</v>
      </c>
      <c r="Q134" s="9">
        <v>282</v>
      </c>
      <c r="R134" s="9">
        <v>2521</v>
      </c>
      <c r="S134" s="9">
        <v>360839</v>
      </c>
      <c r="T134" s="9">
        <v>6094</v>
      </c>
      <c r="U134" s="9">
        <v>7102</v>
      </c>
      <c r="V134" s="9">
        <v>847</v>
      </c>
      <c r="W134" s="9">
        <v>6356</v>
      </c>
      <c r="X134" s="9">
        <v>37</v>
      </c>
      <c r="Y134" s="9">
        <v>1362</v>
      </c>
      <c r="Z134" s="9">
        <v>173</v>
      </c>
      <c r="AA134" s="9">
        <v>128961</v>
      </c>
      <c r="AB134" s="9">
        <v>215</v>
      </c>
      <c r="AC134" s="9">
        <v>23392</v>
      </c>
      <c r="AD134" s="9">
        <v>8744</v>
      </c>
      <c r="AE134" s="9">
        <v>281</v>
      </c>
      <c r="AF134" s="9">
        <v>14</v>
      </c>
      <c r="AG134" s="9">
        <v>5615</v>
      </c>
      <c r="AH134" s="9">
        <v>18904</v>
      </c>
      <c r="AI134" s="9">
        <v>8020</v>
      </c>
      <c r="AJ134" s="9">
        <v>15477</v>
      </c>
      <c r="AK134" s="9">
        <v>402</v>
      </c>
      <c r="AL134" s="10">
        <v>36</v>
      </c>
    </row>
    <row r="135" spans="1:38" x14ac:dyDescent="0.25">
      <c r="A135" s="4">
        <v>134</v>
      </c>
      <c r="B135" s="5" t="s">
        <v>301</v>
      </c>
      <c r="C135" s="4" t="s">
        <v>302</v>
      </c>
      <c r="D135" s="13">
        <f>_xlfn.XLOOKUP(Table1[[#This Row],[Country / Territory]],[1]!Table9[Country],[1]!Table9[Total Pop],"None",0)</f>
        <v>90950705</v>
      </c>
      <c r="E135" s="13">
        <f>_xlfn.XLOOKUP(Table1[[#This Row],[Country / Territory]],[1]!Table9[Country],[1]!Table9[Total F],"None",0)</f>
        <v>46154359</v>
      </c>
      <c r="F135" s="13">
        <f>_xlfn.XLOOKUP(Table1[[#This Row],[Country / Territory]],[1]!Table9[Country],[1]!Table9[Total M],"None",0)</f>
        <v>44796346</v>
      </c>
      <c r="G135" s="11">
        <v>610294</v>
      </c>
      <c r="H135" s="11">
        <v>10642</v>
      </c>
      <c r="I135" s="11">
        <v>6830</v>
      </c>
      <c r="J135" s="11">
        <v>1790</v>
      </c>
      <c r="K135" s="11">
        <v>13719</v>
      </c>
      <c r="L135" s="11">
        <v>26053</v>
      </c>
      <c r="M135" s="11">
        <v>1721</v>
      </c>
      <c r="N135" s="11">
        <v>4872</v>
      </c>
      <c r="O135" s="11">
        <v>18876</v>
      </c>
      <c r="P135" s="11">
        <v>1142</v>
      </c>
      <c r="Q135" s="11">
        <v>105</v>
      </c>
      <c r="R135" s="11">
        <v>20346</v>
      </c>
      <c r="S135" s="11">
        <v>95870</v>
      </c>
      <c r="T135" s="11">
        <v>64681</v>
      </c>
      <c r="U135" s="11">
        <v>75578</v>
      </c>
      <c r="V135" s="11">
        <v>438</v>
      </c>
      <c r="W135" s="11">
        <v>3891</v>
      </c>
      <c r="X135" s="11">
        <v>76</v>
      </c>
      <c r="Y135" s="11">
        <v>85902</v>
      </c>
      <c r="Z135" s="11">
        <v>389</v>
      </c>
      <c r="AA135" s="11">
        <v>44019</v>
      </c>
      <c r="AB135" s="11">
        <v>156</v>
      </c>
      <c r="AC135" s="11">
        <v>13766</v>
      </c>
      <c r="AD135" s="11">
        <v>14862</v>
      </c>
      <c r="AE135" s="11">
        <v>1070</v>
      </c>
      <c r="AF135" s="11">
        <v>13157</v>
      </c>
      <c r="AG135" s="11">
        <v>25652</v>
      </c>
      <c r="AH135" s="11">
        <v>14363</v>
      </c>
      <c r="AI135" s="11">
        <v>17690</v>
      </c>
      <c r="AJ135" s="11">
        <v>29856</v>
      </c>
      <c r="AK135" s="11">
        <v>1677</v>
      </c>
      <c r="AL135" s="12">
        <v>1105</v>
      </c>
    </row>
    <row r="136" spans="1:38" x14ac:dyDescent="0.25">
      <c r="A136" s="2">
        <v>135</v>
      </c>
      <c r="B136" s="3" t="s">
        <v>303</v>
      </c>
      <c r="C136" s="2" t="s">
        <v>304</v>
      </c>
      <c r="D136" s="13">
        <f>_xlfn.XLOOKUP(Table1[[#This Row],[Country / Territory]],[1]!Table9[Country],[1]!Table9[Total Pop],"None",0)</f>
        <v>58848315</v>
      </c>
      <c r="E136" s="13">
        <f>_xlfn.XLOOKUP(Table1[[#This Row],[Country / Territory]],[1]!Table9[Country],[1]!Table9[Total F],"None",0)</f>
        <v>30367924</v>
      </c>
      <c r="F136" s="13">
        <f>_xlfn.XLOOKUP(Table1[[#This Row],[Country / Territory]],[1]!Table9[Country],[1]!Table9[Total M],"None",0)</f>
        <v>28480391</v>
      </c>
      <c r="G136" s="9">
        <v>569907</v>
      </c>
      <c r="H136" s="9">
        <v>3979</v>
      </c>
      <c r="I136" s="9">
        <v>4486</v>
      </c>
      <c r="J136" s="9">
        <v>1149</v>
      </c>
      <c r="K136" s="9">
        <v>7408</v>
      </c>
      <c r="L136" s="9">
        <v>7383</v>
      </c>
      <c r="M136" s="9">
        <v>2130</v>
      </c>
      <c r="N136" s="9">
        <v>11562</v>
      </c>
      <c r="O136" s="9">
        <v>2864</v>
      </c>
      <c r="P136" s="9">
        <v>156336</v>
      </c>
      <c r="Q136" s="9">
        <v>140</v>
      </c>
      <c r="R136" s="9">
        <v>33474</v>
      </c>
      <c r="S136" s="9">
        <v>94038</v>
      </c>
      <c r="T136" s="9">
        <v>42672</v>
      </c>
      <c r="U136" s="9">
        <v>30358</v>
      </c>
      <c r="V136" s="9">
        <v>649</v>
      </c>
      <c r="W136" s="9">
        <v>6700</v>
      </c>
      <c r="X136" s="9">
        <v>264</v>
      </c>
      <c r="Y136" s="9">
        <v>27497</v>
      </c>
      <c r="Z136" s="9">
        <v>548</v>
      </c>
      <c r="AA136" s="9">
        <v>32146</v>
      </c>
      <c r="AB136" s="9">
        <v>216</v>
      </c>
      <c r="AC136" s="9">
        <v>18854</v>
      </c>
      <c r="AD136" s="9">
        <v>8490</v>
      </c>
      <c r="AE136" s="9">
        <v>847</v>
      </c>
      <c r="AF136" s="9">
        <v>7214</v>
      </c>
      <c r="AG136" s="9">
        <v>15198</v>
      </c>
      <c r="AH136" s="9">
        <v>23323</v>
      </c>
      <c r="AI136" s="9">
        <v>8575</v>
      </c>
      <c r="AJ136" s="9">
        <v>18726</v>
      </c>
      <c r="AK136" s="9">
        <v>2372</v>
      </c>
      <c r="AL136" s="10">
        <v>309</v>
      </c>
    </row>
    <row r="137" spans="1:38" x14ac:dyDescent="0.25">
      <c r="A137" s="4">
        <v>136</v>
      </c>
      <c r="B137" s="5" t="s">
        <v>305</v>
      </c>
      <c r="C137" s="4" t="s">
        <v>306</v>
      </c>
      <c r="D137" s="13">
        <f>_xlfn.XLOOKUP(Table1[[#This Row],[Country / Territory]],[1]!Table9[Country],[1]!Table9[Total Pop],"None",0)</f>
        <v>60596874</v>
      </c>
      <c r="E137" s="13">
        <f>_xlfn.XLOOKUP(Table1[[#This Row],[Country / Territory]],[1]!Table9[Country],[1]!Table9[Total F],"None",0)</f>
        <v>30844160</v>
      </c>
      <c r="F137" s="13">
        <f>_xlfn.XLOOKUP(Table1[[#This Row],[Country / Territory]],[1]!Table9[Country],[1]!Table9[Total M],"None",0)</f>
        <v>29752714</v>
      </c>
      <c r="G137" s="11">
        <v>555608</v>
      </c>
      <c r="H137" s="11">
        <v>279</v>
      </c>
      <c r="I137" s="11">
        <v>24111</v>
      </c>
      <c r="J137" s="11">
        <v>4564</v>
      </c>
      <c r="K137" s="11">
        <v>92</v>
      </c>
      <c r="L137" s="11">
        <v>0</v>
      </c>
      <c r="M137" s="11">
        <v>871</v>
      </c>
      <c r="N137" s="11">
        <v>903</v>
      </c>
      <c r="O137" s="11">
        <v>42</v>
      </c>
      <c r="P137" s="11">
        <v>110</v>
      </c>
      <c r="Q137" s="11">
        <v>587</v>
      </c>
      <c r="R137" s="11">
        <v>755</v>
      </c>
      <c r="S137" s="11">
        <v>220690</v>
      </c>
      <c r="T137" s="11">
        <v>18440</v>
      </c>
      <c r="U137" s="11">
        <v>1178</v>
      </c>
      <c r="V137" s="11">
        <v>4534</v>
      </c>
      <c r="W137" s="11">
        <v>16660</v>
      </c>
      <c r="X137" s="11">
        <v>50</v>
      </c>
      <c r="Y137" s="11">
        <v>138</v>
      </c>
      <c r="Z137" s="11">
        <v>699</v>
      </c>
      <c r="AA137" s="11">
        <v>158853</v>
      </c>
      <c r="AB137" s="11">
        <v>28</v>
      </c>
      <c r="AC137" s="11">
        <v>12043</v>
      </c>
      <c r="AD137" s="11">
        <v>5357</v>
      </c>
      <c r="AE137" s="11">
        <v>293</v>
      </c>
      <c r="AF137" s="11">
        <v>21</v>
      </c>
      <c r="AG137" s="11">
        <v>8427</v>
      </c>
      <c r="AH137" s="11">
        <v>19122</v>
      </c>
      <c r="AI137" s="11">
        <v>20852</v>
      </c>
      <c r="AJ137" s="11">
        <v>35478</v>
      </c>
      <c r="AK137" s="11">
        <v>401</v>
      </c>
      <c r="AL137" s="12">
        <v>30</v>
      </c>
    </row>
    <row r="138" spans="1:38" x14ac:dyDescent="0.25">
      <c r="A138" s="2">
        <v>137</v>
      </c>
      <c r="B138" s="3" t="s">
        <v>307</v>
      </c>
      <c r="C138" s="2" t="s">
        <v>308</v>
      </c>
      <c r="D138" s="13">
        <f>_xlfn.XLOOKUP(Table1[[#This Row],[Country / Territory]],[1]!Table9[Country],[1]!Table9[Total Pop],"None",0)</f>
        <v>197335031</v>
      </c>
      <c r="E138" s="13">
        <f>_xlfn.XLOOKUP(Table1[[#This Row],[Country / Territory]],[1]!Table9[Country],[1]!Table9[Total F],"None",0)</f>
        <v>94657142</v>
      </c>
      <c r="F138" s="13">
        <f>_xlfn.XLOOKUP(Table1[[#This Row],[Country / Territory]],[1]!Table9[Country],[1]!Table9[Total M],"None",0)</f>
        <v>102677889</v>
      </c>
      <c r="G138" s="9">
        <v>535858</v>
      </c>
      <c r="H138" s="9">
        <v>1982</v>
      </c>
      <c r="I138" s="9">
        <v>10111</v>
      </c>
      <c r="J138" s="9">
        <v>2629</v>
      </c>
      <c r="K138" s="9">
        <v>429</v>
      </c>
      <c r="L138" s="9">
        <v>0</v>
      </c>
      <c r="M138" s="9">
        <v>3318</v>
      </c>
      <c r="N138" s="9">
        <v>6502</v>
      </c>
      <c r="O138" s="9">
        <v>3010</v>
      </c>
      <c r="P138" s="9">
        <v>400</v>
      </c>
      <c r="Q138" s="9">
        <v>252</v>
      </c>
      <c r="R138" s="9">
        <v>1044</v>
      </c>
      <c r="S138" s="9">
        <v>201236</v>
      </c>
      <c r="T138" s="9">
        <v>23329</v>
      </c>
      <c r="U138" s="9">
        <v>49239</v>
      </c>
      <c r="V138" s="9">
        <v>270</v>
      </c>
      <c r="W138" s="9">
        <v>4807</v>
      </c>
      <c r="X138" s="9">
        <v>63</v>
      </c>
      <c r="Y138" s="9">
        <v>2337</v>
      </c>
      <c r="Z138" s="9">
        <v>105</v>
      </c>
      <c r="AA138" s="9">
        <v>82273</v>
      </c>
      <c r="AB138" s="9">
        <v>1084</v>
      </c>
      <c r="AC138" s="9">
        <v>35911</v>
      </c>
      <c r="AD138" s="9">
        <v>26307</v>
      </c>
      <c r="AE138" s="9">
        <v>1681</v>
      </c>
      <c r="AF138" s="9">
        <v>367</v>
      </c>
      <c r="AG138" s="9">
        <v>25603</v>
      </c>
      <c r="AH138" s="9">
        <v>16228</v>
      </c>
      <c r="AI138" s="9">
        <v>11054</v>
      </c>
      <c r="AJ138" s="9">
        <v>19434</v>
      </c>
      <c r="AK138" s="9">
        <v>4429</v>
      </c>
      <c r="AL138" s="10">
        <v>424</v>
      </c>
    </row>
    <row r="139" spans="1:38" x14ac:dyDescent="0.25">
      <c r="A139" s="4">
        <v>138</v>
      </c>
      <c r="B139" s="5" t="s">
        <v>309</v>
      </c>
      <c r="C139" s="4" t="s">
        <v>310</v>
      </c>
      <c r="D139" s="13">
        <f>_xlfn.XLOOKUP(Table1[[#This Row],[Country / Territory]],[1]!Table9[Country],[1]!Table9[Total Pop],"None",0)</f>
        <v>89606423</v>
      </c>
      <c r="E139" s="13">
        <f>_xlfn.XLOOKUP(Table1[[#This Row],[Country / Territory]],[1]!Table9[Country],[1]!Table9[Total F],"None",0)</f>
        <v>45338380</v>
      </c>
      <c r="F139" s="13">
        <f>_xlfn.XLOOKUP(Table1[[#This Row],[Country / Territory]],[1]!Table9[Country],[1]!Table9[Total M],"None",0)</f>
        <v>44268043</v>
      </c>
      <c r="G139" s="11">
        <v>523545</v>
      </c>
      <c r="H139" s="11">
        <v>1323</v>
      </c>
      <c r="I139" s="11">
        <v>16549</v>
      </c>
      <c r="J139" s="11">
        <v>4491</v>
      </c>
      <c r="K139" s="11">
        <v>569</v>
      </c>
      <c r="L139" s="11">
        <v>0</v>
      </c>
      <c r="M139" s="11">
        <v>2397</v>
      </c>
      <c r="N139" s="11">
        <v>5242</v>
      </c>
      <c r="O139" s="11">
        <v>246</v>
      </c>
      <c r="P139" s="11">
        <v>57</v>
      </c>
      <c r="Q139" s="11">
        <v>634</v>
      </c>
      <c r="R139" s="11">
        <v>593</v>
      </c>
      <c r="S139" s="11">
        <v>270603</v>
      </c>
      <c r="T139" s="11">
        <v>26402</v>
      </c>
      <c r="U139" s="11">
        <v>15567</v>
      </c>
      <c r="V139" s="11">
        <v>458</v>
      </c>
      <c r="W139" s="11">
        <v>4587</v>
      </c>
      <c r="X139" s="11">
        <v>89</v>
      </c>
      <c r="Y139" s="11">
        <v>677</v>
      </c>
      <c r="Z139" s="11">
        <v>164</v>
      </c>
      <c r="AA139" s="11">
        <v>102577</v>
      </c>
      <c r="AB139" s="11">
        <v>2145</v>
      </c>
      <c r="AC139" s="11">
        <v>4055</v>
      </c>
      <c r="AD139" s="11">
        <v>7636</v>
      </c>
      <c r="AE139" s="11">
        <v>500</v>
      </c>
      <c r="AF139" s="11">
        <v>526</v>
      </c>
      <c r="AG139" s="11">
        <v>8522</v>
      </c>
      <c r="AH139" s="11">
        <v>22632</v>
      </c>
      <c r="AI139" s="11">
        <v>8717</v>
      </c>
      <c r="AJ139" s="11">
        <v>14907</v>
      </c>
      <c r="AK139" s="11">
        <v>636</v>
      </c>
      <c r="AL139" s="12">
        <v>44</v>
      </c>
    </row>
    <row r="140" spans="1:38" x14ac:dyDescent="0.25">
      <c r="A140" s="2">
        <v>139</v>
      </c>
      <c r="B140" s="3" t="s">
        <v>311</v>
      </c>
      <c r="C140" s="2" t="s">
        <v>312</v>
      </c>
      <c r="D140" s="13">
        <f>_xlfn.XLOOKUP(Table1[[#This Row],[Country / Territory]],[1]!Table9[Country],[1]!Table9[Total Pop],"None",0)</f>
        <v>41471582</v>
      </c>
      <c r="E140" s="13">
        <f>_xlfn.XLOOKUP(Table1[[#This Row],[Country / Territory]],[1]!Table9[Country],[1]!Table9[Total F],"None",0)</f>
        <v>22116019</v>
      </c>
      <c r="F140" s="13">
        <f>_xlfn.XLOOKUP(Table1[[#This Row],[Country / Territory]],[1]!Table9[Country],[1]!Table9[Total M],"None",0)</f>
        <v>19355563</v>
      </c>
      <c r="G140" s="9">
        <v>511674</v>
      </c>
      <c r="H140" s="9">
        <v>400</v>
      </c>
      <c r="I140" s="9">
        <v>14249</v>
      </c>
      <c r="J140" s="9">
        <v>2990</v>
      </c>
      <c r="K140" s="9">
        <v>161</v>
      </c>
      <c r="L140" s="9">
        <v>0</v>
      </c>
      <c r="M140" s="9">
        <v>3320</v>
      </c>
      <c r="N140" s="9">
        <v>5077</v>
      </c>
      <c r="O140" s="9">
        <v>62</v>
      </c>
      <c r="P140" s="9">
        <v>696</v>
      </c>
      <c r="Q140" s="9">
        <v>2246</v>
      </c>
      <c r="R140" s="9">
        <v>2217</v>
      </c>
      <c r="S140" s="9">
        <v>280754</v>
      </c>
      <c r="T140" s="9">
        <v>7613</v>
      </c>
      <c r="U140" s="9">
        <v>1394</v>
      </c>
      <c r="V140" s="9">
        <v>8353</v>
      </c>
      <c r="W140" s="9">
        <v>11446</v>
      </c>
      <c r="X140" s="9">
        <v>5</v>
      </c>
      <c r="Y140" s="9">
        <v>74</v>
      </c>
      <c r="Z140" s="9">
        <v>3762</v>
      </c>
      <c r="AA140" s="9">
        <v>110152</v>
      </c>
      <c r="AB140" s="9">
        <v>12</v>
      </c>
      <c r="AC140" s="9">
        <v>4273</v>
      </c>
      <c r="AD140" s="9">
        <v>5523</v>
      </c>
      <c r="AE140" s="9">
        <v>685</v>
      </c>
      <c r="AF140" s="9">
        <v>108</v>
      </c>
      <c r="AG140" s="9">
        <v>6864</v>
      </c>
      <c r="AH140" s="9">
        <v>9039</v>
      </c>
      <c r="AI140" s="9">
        <v>8316</v>
      </c>
      <c r="AJ140" s="9">
        <v>17962</v>
      </c>
      <c r="AK140" s="9">
        <v>3900</v>
      </c>
      <c r="AL140" s="10">
        <v>21</v>
      </c>
    </row>
    <row r="141" spans="1:38" x14ac:dyDescent="0.25">
      <c r="A141" s="4">
        <v>140</v>
      </c>
      <c r="B141" s="5" t="s">
        <v>313</v>
      </c>
      <c r="C141" s="4" t="s">
        <v>314</v>
      </c>
      <c r="D141" s="13">
        <f>_xlfn.XLOOKUP(Table1[[#This Row],[Country / Territory]],[1]!Table9[Country],[1]!Table9[Total Pop],"None",0)</f>
        <v>133267176</v>
      </c>
      <c r="E141" s="13">
        <f>_xlfn.XLOOKUP(Table1[[#This Row],[Country / Territory]],[1]!Table9[Country],[1]!Table9[Total F],"None",0)</f>
        <v>64649105</v>
      </c>
      <c r="F141" s="13">
        <f>_xlfn.XLOOKUP(Table1[[#This Row],[Country / Territory]],[1]!Table9[Country],[1]!Table9[Total M],"None",0)</f>
        <v>68618071</v>
      </c>
      <c r="G141" s="11">
        <v>488771</v>
      </c>
      <c r="H141" s="11">
        <v>363</v>
      </c>
      <c r="I141" s="11">
        <v>20565</v>
      </c>
      <c r="J141" s="11">
        <v>3843</v>
      </c>
      <c r="K141" s="11">
        <v>39</v>
      </c>
      <c r="L141" s="11">
        <v>0</v>
      </c>
      <c r="M141" s="11">
        <v>714</v>
      </c>
      <c r="N141" s="11">
        <v>1346</v>
      </c>
      <c r="O141" s="11">
        <v>95</v>
      </c>
      <c r="P141" s="11">
        <v>1241</v>
      </c>
      <c r="Q141" s="11">
        <v>262</v>
      </c>
      <c r="R141" s="11">
        <v>2585</v>
      </c>
      <c r="S141" s="11">
        <v>166594</v>
      </c>
      <c r="T141" s="11">
        <v>62407</v>
      </c>
      <c r="U141" s="11">
        <v>1659</v>
      </c>
      <c r="V141" s="11">
        <v>263</v>
      </c>
      <c r="W141" s="11">
        <v>13921</v>
      </c>
      <c r="X141" s="11">
        <v>0</v>
      </c>
      <c r="Y141" s="11">
        <v>729</v>
      </c>
      <c r="Z141" s="11">
        <v>60</v>
      </c>
      <c r="AA141" s="11">
        <v>142869</v>
      </c>
      <c r="AB141" s="11">
        <v>5</v>
      </c>
      <c r="AC141" s="11">
        <v>9045</v>
      </c>
      <c r="AD141" s="11">
        <v>12338</v>
      </c>
      <c r="AE141" s="11">
        <v>126</v>
      </c>
      <c r="AF141" s="11">
        <v>19</v>
      </c>
      <c r="AG141" s="11">
        <v>6793</v>
      </c>
      <c r="AH141" s="11">
        <v>21242</v>
      </c>
      <c r="AI141" s="11">
        <v>6048</v>
      </c>
      <c r="AJ141" s="11">
        <v>13231</v>
      </c>
      <c r="AK141" s="11">
        <v>338</v>
      </c>
      <c r="AL141" s="12">
        <v>31</v>
      </c>
    </row>
    <row r="142" spans="1:38" x14ac:dyDescent="0.25">
      <c r="A142" s="2">
        <v>141</v>
      </c>
      <c r="B142" s="3" t="s">
        <v>315</v>
      </c>
      <c r="C142" s="2" t="s">
        <v>316</v>
      </c>
      <c r="D142" s="13">
        <f>_xlfn.XLOOKUP(Table1[[#This Row],[Country / Territory]],[1]!Table9[Country],[1]!Table9[Total Pop],"None",0)</f>
        <v>125060042</v>
      </c>
      <c r="E142" s="13">
        <f>_xlfn.XLOOKUP(Table1[[#This Row],[Country / Territory]],[1]!Table9[Country],[1]!Table9[Total F],"None",0)</f>
        <v>62955555</v>
      </c>
      <c r="F142" s="13">
        <f>_xlfn.XLOOKUP(Table1[[#This Row],[Country / Territory]],[1]!Table9[Country],[1]!Table9[Total M],"None",0)</f>
        <v>62104487</v>
      </c>
      <c r="G142" s="9">
        <v>485855</v>
      </c>
      <c r="H142" s="9">
        <v>1259</v>
      </c>
      <c r="I142" s="9">
        <v>21818</v>
      </c>
      <c r="J142" s="9">
        <v>3841</v>
      </c>
      <c r="K142" s="9">
        <v>649</v>
      </c>
      <c r="L142" s="9">
        <v>6</v>
      </c>
      <c r="M142" s="9">
        <v>4516</v>
      </c>
      <c r="N142" s="9">
        <v>10021</v>
      </c>
      <c r="O142" s="9">
        <v>710</v>
      </c>
      <c r="P142" s="9">
        <v>4522</v>
      </c>
      <c r="Q142" s="9">
        <v>437</v>
      </c>
      <c r="R142" s="9">
        <v>2085</v>
      </c>
      <c r="S142" s="9">
        <v>141587</v>
      </c>
      <c r="T142" s="9">
        <v>14100</v>
      </c>
      <c r="U142" s="9">
        <v>12095</v>
      </c>
      <c r="V142" s="9">
        <v>1844</v>
      </c>
      <c r="W142" s="9">
        <v>8768</v>
      </c>
      <c r="X142" s="9">
        <v>329</v>
      </c>
      <c r="Y142" s="9">
        <v>3355</v>
      </c>
      <c r="Z142" s="9">
        <v>55</v>
      </c>
      <c r="AA142" s="9">
        <v>116484</v>
      </c>
      <c r="AB142" s="9">
        <v>6</v>
      </c>
      <c r="AC142" s="9">
        <v>11021</v>
      </c>
      <c r="AD142" s="9">
        <v>23033</v>
      </c>
      <c r="AE142" s="9">
        <v>270</v>
      </c>
      <c r="AF142" s="9">
        <v>569</v>
      </c>
      <c r="AG142" s="9">
        <v>20799</v>
      </c>
      <c r="AH142" s="9">
        <v>28119</v>
      </c>
      <c r="AI142" s="9">
        <v>18467</v>
      </c>
      <c r="AJ142" s="9">
        <v>34305</v>
      </c>
      <c r="AK142" s="9">
        <v>630</v>
      </c>
      <c r="AL142" s="10">
        <v>155</v>
      </c>
    </row>
    <row r="143" spans="1:38" x14ac:dyDescent="0.25">
      <c r="A143" s="4">
        <v>142</v>
      </c>
      <c r="B143" s="5" t="s">
        <v>317</v>
      </c>
      <c r="C143" s="4" t="s">
        <v>318</v>
      </c>
      <c r="D143" s="13">
        <f>_xlfn.XLOOKUP(Table1[[#This Row],[Country / Territory]],[1]!Table9[Country],[1]!Table9[Total Pop],"None",0)</f>
        <v>79559198</v>
      </c>
      <c r="E143" s="13">
        <f>_xlfn.XLOOKUP(Table1[[#This Row],[Country / Territory]],[1]!Table9[Country],[1]!Table9[Total F],"None",0)</f>
        <v>40171161</v>
      </c>
      <c r="F143" s="13">
        <f>_xlfn.XLOOKUP(Table1[[#This Row],[Country / Territory]],[1]!Table9[Country],[1]!Table9[Total M],"None",0)</f>
        <v>39388037</v>
      </c>
      <c r="G143" s="11">
        <v>457508</v>
      </c>
      <c r="H143" s="11">
        <v>1063</v>
      </c>
      <c r="I143" s="11">
        <v>17776</v>
      </c>
      <c r="J143" s="11">
        <v>3421</v>
      </c>
      <c r="K143" s="11">
        <v>2871</v>
      </c>
      <c r="L143" s="11">
        <v>0</v>
      </c>
      <c r="M143" s="11">
        <v>472</v>
      </c>
      <c r="N143" s="11">
        <v>13745</v>
      </c>
      <c r="O143" s="11">
        <v>919</v>
      </c>
      <c r="P143" s="11">
        <v>13671</v>
      </c>
      <c r="Q143" s="11">
        <v>133</v>
      </c>
      <c r="R143" s="11">
        <v>462</v>
      </c>
      <c r="S143" s="11">
        <v>151968</v>
      </c>
      <c r="T143" s="11">
        <v>13598</v>
      </c>
      <c r="U143" s="11">
        <v>18714</v>
      </c>
      <c r="V143" s="11">
        <v>233</v>
      </c>
      <c r="W143" s="11">
        <v>1910</v>
      </c>
      <c r="X143" s="11">
        <v>101</v>
      </c>
      <c r="Y143" s="11">
        <v>2130</v>
      </c>
      <c r="Z143" s="11">
        <v>38</v>
      </c>
      <c r="AA143" s="11">
        <v>96446</v>
      </c>
      <c r="AB143" s="11">
        <v>86</v>
      </c>
      <c r="AC143" s="11">
        <v>53947</v>
      </c>
      <c r="AD143" s="11">
        <v>20966</v>
      </c>
      <c r="AE143" s="11">
        <v>111</v>
      </c>
      <c r="AF143" s="11">
        <v>2658</v>
      </c>
      <c r="AG143" s="11">
        <v>4761</v>
      </c>
      <c r="AH143" s="11">
        <v>16370</v>
      </c>
      <c r="AI143" s="11">
        <v>4894</v>
      </c>
      <c r="AJ143" s="11">
        <v>13363</v>
      </c>
      <c r="AK143" s="11">
        <v>625</v>
      </c>
      <c r="AL143" s="12">
        <v>56</v>
      </c>
    </row>
    <row r="144" spans="1:38" x14ac:dyDescent="0.25">
      <c r="A144" s="2">
        <v>143</v>
      </c>
      <c r="B144" s="3" t="s">
        <v>319</v>
      </c>
      <c r="C144" s="2" t="s">
        <v>320</v>
      </c>
      <c r="D144" s="13">
        <f>_xlfn.XLOOKUP(Table1[[#This Row],[Country / Territory]],[1]!Table9[Country],[1]!Table9[Total Pop],"None",0)</f>
        <v>42334364</v>
      </c>
      <c r="E144" s="13">
        <f>_xlfn.XLOOKUP(Table1[[#This Row],[Country / Territory]],[1]!Table9[Country],[1]!Table9[Total F],"None",0)</f>
        <v>21642696</v>
      </c>
      <c r="F144" s="13">
        <f>_xlfn.XLOOKUP(Table1[[#This Row],[Country / Territory]],[1]!Table9[Country],[1]!Table9[Total M],"None",0)</f>
        <v>20691668</v>
      </c>
      <c r="G144" s="9">
        <v>436105</v>
      </c>
      <c r="H144" s="9">
        <v>13956</v>
      </c>
      <c r="I144" s="9">
        <v>1710</v>
      </c>
      <c r="J144" s="9">
        <v>611</v>
      </c>
      <c r="K144" s="9">
        <v>8301</v>
      </c>
      <c r="L144" s="9">
        <v>26594</v>
      </c>
      <c r="M144" s="9">
        <v>2461</v>
      </c>
      <c r="N144" s="9">
        <v>4143</v>
      </c>
      <c r="O144" s="9">
        <v>5811</v>
      </c>
      <c r="P144" s="9">
        <v>29623</v>
      </c>
      <c r="Q144" s="9">
        <v>73</v>
      </c>
      <c r="R144" s="9">
        <v>25866</v>
      </c>
      <c r="S144" s="9">
        <v>52785</v>
      </c>
      <c r="T144" s="9">
        <v>43246</v>
      </c>
      <c r="U144" s="9">
        <v>56058</v>
      </c>
      <c r="V144" s="9">
        <v>346</v>
      </c>
      <c r="W144" s="9">
        <v>3789</v>
      </c>
      <c r="X144" s="9">
        <v>8</v>
      </c>
      <c r="Y144" s="9">
        <v>56776</v>
      </c>
      <c r="Z144" s="9">
        <v>438</v>
      </c>
      <c r="AA144" s="9">
        <v>21933</v>
      </c>
      <c r="AB144" s="9">
        <v>951</v>
      </c>
      <c r="AC144" s="9">
        <v>7327</v>
      </c>
      <c r="AD144" s="9">
        <v>7372</v>
      </c>
      <c r="AE144" s="9">
        <v>1137</v>
      </c>
      <c r="AF144" s="9">
        <v>7976</v>
      </c>
      <c r="AG144" s="9">
        <v>13652</v>
      </c>
      <c r="AH144" s="9">
        <v>10373</v>
      </c>
      <c r="AI144" s="9">
        <v>10860</v>
      </c>
      <c r="AJ144" s="9">
        <v>18655</v>
      </c>
      <c r="AK144" s="9">
        <v>1525</v>
      </c>
      <c r="AL144" s="10">
        <v>1749</v>
      </c>
    </row>
    <row r="145" spans="1:38" x14ac:dyDescent="0.25">
      <c r="A145" s="4">
        <v>144</v>
      </c>
      <c r="B145" s="5" t="s">
        <v>321</v>
      </c>
      <c r="C145" s="4" t="s">
        <v>322</v>
      </c>
      <c r="D145" s="13">
        <f>_xlfn.XLOOKUP(Table1[[#This Row],[Country / Territory]],[1]!Table9[Country],[1]!Table9[Total Pop],"None",0)</f>
        <v>99126939</v>
      </c>
      <c r="E145" s="13">
        <f>_xlfn.XLOOKUP(Table1[[#This Row],[Country / Territory]],[1]!Table9[Country],[1]!Table9[Total F],"None",0)</f>
        <v>49363277</v>
      </c>
      <c r="F145" s="13">
        <f>_xlfn.XLOOKUP(Table1[[#This Row],[Country / Territory]],[1]!Table9[Country],[1]!Table9[Total M],"None",0)</f>
        <v>49763662</v>
      </c>
      <c r="G145" s="11">
        <v>418150</v>
      </c>
      <c r="H145" s="11">
        <v>1564</v>
      </c>
      <c r="I145" s="11">
        <v>18634</v>
      </c>
      <c r="J145" s="11">
        <v>3363</v>
      </c>
      <c r="K145" s="11">
        <v>4563</v>
      </c>
      <c r="L145" s="11">
        <v>55</v>
      </c>
      <c r="M145" s="11">
        <v>4466</v>
      </c>
      <c r="N145" s="11">
        <v>14278</v>
      </c>
      <c r="O145" s="11">
        <v>1347</v>
      </c>
      <c r="P145" s="11">
        <v>13521</v>
      </c>
      <c r="Q145" s="11">
        <v>320</v>
      </c>
      <c r="R145" s="11">
        <v>6188</v>
      </c>
      <c r="S145" s="11">
        <v>118409</v>
      </c>
      <c r="T145" s="11">
        <v>17881</v>
      </c>
      <c r="U145" s="11">
        <v>13165</v>
      </c>
      <c r="V145" s="11">
        <v>694</v>
      </c>
      <c r="W145" s="11">
        <v>5252</v>
      </c>
      <c r="X145" s="11">
        <v>201</v>
      </c>
      <c r="Y145" s="11">
        <v>5690</v>
      </c>
      <c r="Z145" s="11">
        <v>39</v>
      </c>
      <c r="AA145" s="11">
        <v>79014</v>
      </c>
      <c r="AB145" s="11">
        <v>51</v>
      </c>
      <c r="AC145" s="11">
        <v>21135</v>
      </c>
      <c r="AD145" s="11">
        <v>19391</v>
      </c>
      <c r="AE145" s="11">
        <v>405</v>
      </c>
      <c r="AF145" s="11">
        <v>4247</v>
      </c>
      <c r="AG145" s="11">
        <v>15935</v>
      </c>
      <c r="AH145" s="11">
        <v>18302</v>
      </c>
      <c r="AI145" s="11">
        <v>9991</v>
      </c>
      <c r="AJ145" s="11">
        <v>19381</v>
      </c>
      <c r="AK145" s="11">
        <v>558</v>
      </c>
      <c r="AL145" s="12">
        <v>110</v>
      </c>
    </row>
    <row r="146" spans="1:38" x14ac:dyDescent="0.25">
      <c r="A146" s="2">
        <v>145</v>
      </c>
      <c r="B146" s="3" t="s">
        <v>323</v>
      </c>
      <c r="C146" s="2" t="s">
        <v>324</v>
      </c>
      <c r="D146" s="13">
        <f>_xlfn.XLOOKUP(Table1[[#This Row],[Country / Territory]],[1]!Table9[Country],[1]!Table9[Total Pop],"None",0)</f>
        <v>99368674</v>
      </c>
      <c r="E146" s="13">
        <f>_xlfn.XLOOKUP(Table1[[#This Row],[Country / Territory]],[1]!Table9[Country],[1]!Table9[Total F],"None",0)</f>
        <v>49632030</v>
      </c>
      <c r="F146" s="13">
        <f>_xlfn.XLOOKUP(Table1[[#This Row],[Country / Territory]],[1]!Table9[Country],[1]!Table9[Total M],"None",0)</f>
        <v>49736644</v>
      </c>
      <c r="G146" s="9">
        <v>411257</v>
      </c>
      <c r="H146" s="9">
        <v>1853</v>
      </c>
      <c r="I146" s="9">
        <v>6514</v>
      </c>
      <c r="J146" s="9">
        <v>1783</v>
      </c>
      <c r="K146" s="9">
        <v>421</v>
      </c>
      <c r="L146" s="9">
        <v>0</v>
      </c>
      <c r="M146" s="9">
        <v>1804</v>
      </c>
      <c r="N146" s="9">
        <v>4906</v>
      </c>
      <c r="O146" s="9">
        <v>873</v>
      </c>
      <c r="P146" s="9">
        <v>223</v>
      </c>
      <c r="Q146" s="9">
        <v>107</v>
      </c>
      <c r="R146" s="9">
        <v>936</v>
      </c>
      <c r="S146" s="9">
        <v>148182</v>
      </c>
      <c r="T146" s="9">
        <v>14718</v>
      </c>
      <c r="U146" s="9">
        <v>47062</v>
      </c>
      <c r="V146" s="9">
        <v>126</v>
      </c>
      <c r="W146" s="9">
        <v>2414</v>
      </c>
      <c r="X146" s="9">
        <v>10</v>
      </c>
      <c r="Y146" s="9">
        <v>1447</v>
      </c>
      <c r="Z146" s="9">
        <v>51</v>
      </c>
      <c r="AA146" s="9">
        <v>52021</v>
      </c>
      <c r="AB146" s="9">
        <v>45957</v>
      </c>
      <c r="AC146" s="9">
        <v>20982</v>
      </c>
      <c r="AD146" s="9">
        <v>15772</v>
      </c>
      <c r="AE146" s="9">
        <v>182</v>
      </c>
      <c r="AF146" s="9">
        <v>385</v>
      </c>
      <c r="AG146" s="9">
        <v>10090</v>
      </c>
      <c r="AH146" s="9">
        <v>11655</v>
      </c>
      <c r="AI146" s="9">
        <v>7711</v>
      </c>
      <c r="AJ146" s="9">
        <v>11551</v>
      </c>
      <c r="AK146" s="9">
        <v>1283</v>
      </c>
      <c r="AL146" s="10">
        <v>238</v>
      </c>
    </row>
    <row r="147" spans="1:38" x14ac:dyDescent="0.25">
      <c r="A147" s="4">
        <v>146</v>
      </c>
      <c r="B147" s="5" t="s">
        <v>325</v>
      </c>
      <c r="C147" s="4" t="s">
        <v>326</v>
      </c>
      <c r="D147" s="13">
        <f>_xlfn.XLOOKUP(Table1[[#This Row],[Country / Territory]],[1]!Table9[Country],[1]!Table9[Total Pop],"None",0)</f>
        <v>31852045</v>
      </c>
      <c r="E147" s="13">
        <f>_xlfn.XLOOKUP(Table1[[#This Row],[Country / Territory]],[1]!Table9[Country],[1]!Table9[Total F],"None",0)</f>
        <v>16441754</v>
      </c>
      <c r="F147" s="13">
        <f>_xlfn.XLOOKUP(Table1[[#This Row],[Country / Territory]],[1]!Table9[Country],[1]!Table9[Total M],"None",0)</f>
        <v>15410291</v>
      </c>
      <c r="G147" s="11">
        <v>387046</v>
      </c>
      <c r="H147" s="11">
        <v>2988</v>
      </c>
      <c r="I147" s="11">
        <v>1179</v>
      </c>
      <c r="J147" s="11">
        <v>362</v>
      </c>
      <c r="K147" s="11">
        <v>3896</v>
      </c>
      <c r="L147" s="11">
        <v>795</v>
      </c>
      <c r="M147" s="11">
        <v>1601</v>
      </c>
      <c r="N147" s="11">
        <v>6018</v>
      </c>
      <c r="O147" s="11">
        <v>1263</v>
      </c>
      <c r="P147" s="11">
        <v>154247</v>
      </c>
      <c r="Q147" s="11">
        <v>100</v>
      </c>
      <c r="R147" s="11">
        <v>23660</v>
      </c>
      <c r="S147" s="11">
        <v>37935</v>
      </c>
      <c r="T147" s="11">
        <v>25060</v>
      </c>
      <c r="U147" s="11">
        <v>17107</v>
      </c>
      <c r="V147" s="11">
        <v>272</v>
      </c>
      <c r="W147" s="11">
        <v>5601</v>
      </c>
      <c r="X147" s="11">
        <v>12</v>
      </c>
      <c r="Y147" s="11">
        <v>19732</v>
      </c>
      <c r="Z147" s="11">
        <v>347</v>
      </c>
      <c r="AA147" s="11">
        <v>22999</v>
      </c>
      <c r="AB147" s="11">
        <v>4</v>
      </c>
      <c r="AC147" s="11">
        <v>14892</v>
      </c>
      <c r="AD147" s="11">
        <v>6336</v>
      </c>
      <c r="AE147" s="11">
        <v>684</v>
      </c>
      <c r="AF147" s="11">
        <v>3832</v>
      </c>
      <c r="AG147" s="11">
        <v>10616</v>
      </c>
      <c r="AH147" s="11">
        <v>9328</v>
      </c>
      <c r="AI147" s="11">
        <v>5129</v>
      </c>
      <c r="AJ147" s="11">
        <v>9281</v>
      </c>
      <c r="AK147" s="11">
        <v>1507</v>
      </c>
      <c r="AL147" s="12">
        <v>263</v>
      </c>
    </row>
    <row r="148" spans="1:38" x14ac:dyDescent="0.25">
      <c r="A148" s="2">
        <v>147</v>
      </c>
      <c r="B148" s="3" t="s">
        <v>327</v>
      </c>
      <c r="C148" s="2" t="s">
        <v>328</v>
      </c>
      <c r="D148" s="13">
        <f>_xlfn.XLOOKUP(Table1[[#This Row],[Country / Territory]],[1]!Table9[Country],[1]!Table9[Total Pop],"None",0)</f>
        <v>155403923</v>
      </c>
      <c r="E148" s="13">
        <f>_xlfn.XLOOKUP(Table1[[#This Row],[Country / Territory]],[1]!Table9[Country],[1]!Table9[Total F],"None",0)</f>
        <v>51645339</v>
      </c>
      <c r="F148" s="13">
        <f>_xlfn.XLOOKUP(Table1[[#This Row],[Country / Territory]],[1]!Table9[Country],[1]!Table9[Total M],"None",0)</f>
        <v>103758584</v>
      </c>
      <c r="G148" s="9">
        <v>372629</v>
      </c>
      <c r="H148" s="9">
        <v>1087</v>
      </c>
      <c r="I148" s="9">
        <v>1653</v>
      </c>
      <c r="J148" s="9">
        <v>1182</v>
      </c>
      <c r="K148" s="9">
        <v>170</v>
      </c>
      <c r="L148" s="9">
        <v>0</v>
      </c>
      <c r="M148" s="9">
        <v>3353</v>
      </c>
      <c r="N148" s="9">
        <v>2157</v>
      </c>
      <c r="O148" s="9">
        <v>283</v>
      </c>
      <c r="P148" s="9">
        <v>1866</v>
      </c>
      <c r="Q148" s="9">
        <v>10129</v>
      </c>
      <c r="R148" s="9">
        <v>2125</v>
      </c>
      <c r="S148" s="9">
        <v>113217</v>
      </c>
      <c r="T148" s="9">
        <v>9876</v>
      </c>
      <c r="U148" s="9">
        <v>5347</v>
      </c>
      <c r="V148" s="9">
        <v>1035</v>
      </c>
      <c r="W148" s="9">
        <v>10612</v>
      </c>
      <c r="X148" s="9">
        <v>0</v>
      </c>
      <c r="Y148" s="9">
        <v>1021</v>
      </c>
      <c r="Z148" s="9">
        <v>203</v>
      </c>
      <c r="AA148" s="9">
        <v>63641</v>
      </c>
      <c r="AB148" s="9">
        <v>2</v>
      </c>
      <c r="AC148" s="9">
        <v>16413</v>
      </c>
      <c r="AD148" s="9">
        <v>18201</v>
      </c>
      <c r="AE148" s="9">
        <v>688</v>
      </c>
      <c r="AF148" s="9">
        <v>95</v>
      </c>
      <c r="AG148" s="9">
        <v>64581</v>
      </c>
      <c r="AH148" s="9">
        <v>24193</v>
      </c>
      <c r="AI148" s="9">
        <v>6088</v>
      </c>
      <c r="AJ148" s="9">
        <v>9201</v>
      </c>
      <c r="AK148" s="9">
        <v>3247</v>
      </c>
      <c r="AL148" s="10">
        <v>963</v>
      </c>
    </row>
    <row r="149" spans="1:38" x14ac:dyDescent="0.25">
      <c r="A149" s="4">
        <v>148</v>
      </c>
      <c r="B149" s="5" t="s">
        <v>329</v>
      </c>
      <c r="C149" s="4" t="s">
        <v>330</v>
      </c>
      <c r="D149" s="13">
        <f>_xlfn.XLOOKUP(Table1[[#This Row],[Country / Territory]],[1]!Table9[Country],[1]!Table9[Total Pop],"None",0)</f>
        <v>45654961</v>
      </c>
      <c r="E149" s="13">
        <f>_xlfn.XLOOKUP(Table1[[#This Row],[Country / Territory]],[1]!Table9[Country],[1]!Table9[Total F],"None",0)</f>
        <v>22756270</v>
      </c>
      <c r="F149" s="13">
        <f>_xlfn.XLOOKUP(Table1[[#This Row],[Country / Territory]],[1]!Table9[Country],[1]!Table9[Total M],"None",0)</f>
        <v>22898691</v>
      </c>
      <c r="G149" s="11">
        <v>343584</v>
      </c>
      <c r="H149" s="11">
        <v>3545</v>
      </c>
      <c r="I149" s="11">
        <v>3578</v>
      </c>
      <c r="J149" s="11">
        <v>996</v>
      </c>
      <c r="K149" s="11">
        <v>3054</v>
      </c>
      <c r="L149" s="11">
        <v>25464</v>
      </c>
      <c r="M149" s="11">
        <v>991</v>
      </c>
      <c r="N149" s="11">
        <v>1911</v>
      </c>
      <c r="O149" s="11">
        <v>3383</v>
      </c>
      <c r="P149" s="11">
        <v>43020</v>
      </c>
      <c r="Q149" s="11">
        <v>196</v>
      </c>
      <c r="R149" s="11">
        <v>19145</v>
      </c>
      <c r="S149" s="11">
        <v>64442</v>
      </c>
      <c r="T149" s="11">
        <v>23189</v>
      </c>
      <c r="U149" s="11">
        <v>22255</v>
      </c>
      <c r="V149" s="11">
        <v>461</v>
      </c>
      <c r="W149" s="11">
        <v>4367</v>
      </c>
      <c r="X149" s="11">
        <v>1</v>
      </c>
      <c r="Y149" s="11">
        <v>14826</v>
      </c>
      <c r="Z149" s="11">
        <v>202</v>
      </c>
      <c r="AA149" s="11">
        <v>32113</v>
      </c>
      <c r="AB149" s="11">
        <v>12</v>
      </c>
      <c r="AC149" s="11">
        <v>13940</v>
      </c>
      <c r="AD149" s="11">
        <v>8348</v>
      </c>
      <c r="AE149" s="11">
        <v>688</v>
      </c>
      <c r="AF149" s="11">
        <v>2845</v>
      </c>
      <c r="AG149" s="11">
        <v>13750</v>
      </c>
      <c r="AH149" s="11">
        <v>9013</v>
      </c>
      <c r="AI149" s="11">
        <v>10477</v>
      </c>
      <c r="AJ149" s="11">
        <v>16123</v>
      </c>
      <c r="AK149" s="11">
        <v>869</v>
      </c>
      <c r="AL149" s="12">
        <v>380</v>
      </c>
    </row>
    <row r="150" spans="1:38" x14ac:dyDescent="0.25">
      <c r="A150" s="2">
        <v>149</v>
      </c>
      <c r="B150" s="3" t="s">
        <v>331</v>
      </c>
      <c r="C150" s="2" t="s">
        <v>332</v>
      </c>
      <c r="D150" s="13">
        <f>_xlfn.XLOOKUP(Table1[[#This Row],[Country / Territory]],[1]!Table9[Country],[1]!Table9[Total Pop],"None",0)</f>
        <v>50864094</v>
      </c>
      <c r="E150" s="13">
        <f>_xlfn.XLOOKUP(Table1[[#This Row],[Country / Territory]],[1]!Table9[Country],[1]!Table9[Total F],"None",0)</f>
        <v>25640105</v>
      </c>
      <c r="F150" s="13">
        <f>_xlfn.XLOOKUP(Table1[[#This Row],[Country / Territory]],[1]!Table9[Country],[1]!Table9[Total M],"None",0)</f>
        <v>25223989</v>
      </c>
      <c r="G150" s="9">
        <v>336487</v>
      </c>
      <c r="H150" s="9">
        <v>7947</v>
      </c>
      <c r="I150" s="9">
        <v>2632</v>
      </c>
      <c r="J150" s="9">
        <v>812</v>
      </c>
      <c r="K150" s="9">
        <v>5784</v>
      </c>
      <c r="L150" s="9">
        <v>38603</v>
      </c>
      <c r="M150" s="9">
        <v>1220</v>
      </c>
      <c r="N150" s="9">
        <v>322</v>
      </c>
      <c r="O150" s="9">
        <v>8200</v>
      </c>
      <c r="P150" s="9">
        <v>22925</v>
      </c>
      <c r="Q150" s="9">
        <v>53</v>
      </c>
      <c r="R150" s="9">
        <v>18036</v>
      </c>
      <c r="S150" s="9">
        <v>48140</v>
      </c>
      <c r="T150" s="9">
        <v>35453</v>
      </c>
      <c r="U150" s="9">
        <v>44246</v>
      </c>
      <c r="V150" s="9">
        <v>278</v>
      </c>
      <c r="W150" s="9">
        <v>2433</v>
      </c>
      <c r="X150" s="9">
        <v>75</v>
      </c>
      <c r="Y150" s="9">
        <v>23536</v>
      </c>
      <c r="Z150" s="9">
        <v>261</v>
      </c>
      <c r="AA150" s="9">
        <v>19405</v>
      </c>
      <c r="AB150" s="9">
        <v>41</v>
      </c>
      <c r="AC150" s="9">
        <v>5805</v>
      </c>
      <c r="AD150" s="9">
        <v>5907</v>
      </c>
      <c r="AE150" s="9">
        <v>806</v>
      </c>
      <c r="AF150" s="9">
        <v>5553</v>
      </c>
      <c r="AG150" s="9">
        <v>5698</v>
      </c>
      <c r="AH150" s="9">
        <v>8642</v>
      </c>
      <c r="AI150" s="9">
        <v>7777</v>
      </c>
      <c r="AJ150" s="9">
        <v>14261</v>
      </c>
      <c r="AK150" s="9">
        <v>1069</v>
      </c>
      <c r="AL150" s="10">
        <v>567</v>
      </c>
    </row>
    <row r="151" spans="1:38" x14ac:dyDescent="0.25">
      <c r="A151" s="4">
        <v>150</v>
      </c>
      <c r="B151" s="5" t="s">
        <v>333</v>
      </c>
      <c r="C151" s="4" t="s">
        <v>334</v>
      </c>
      <c r="D151" s="13">
        <f>_xlfn.XLOOKUP(Table1[[#This Row],[Country / Territory]],[1]!Table9[Country],[1]!Table9[Total Pop],"None",0)</f>
        <v>84674763</v>
      </c>
      <c r="E151" s="13">
        <f>_xlfn.XLOOKUP(Table1[[#This Row],[Country / Territory]],[1]!Table9[Country],[1]!Table9[Total F],"None",0)</f>
        <v>33066037</v>
      </c>
      <c r="F151" s="13">
        <f>_xlfn.XLOOKUP(Table1[[#This Row],[Country / Territory]],[1]!Table9[Country],[1]!Table9[Total M],"None",0)</f>
        <v>51608726</v>
      </c>
      <c r="G151" s="11">
        <v>304947</v>
      </c>
      <c r="H151" s="11">
        <v>562</v>
      </c>
      <c r="I151" s="11">
        <v>3670</v>
      </c>
      <c r="J151" s="11">
        <v>1297</v>
      </c>
      <c r="K151" s="11">
        <v>1572</v>
      </c>
      <c r="L151" s="11">
        <v>315</v>
      </c>
      <c r="M151" s="11">
        <v>3524</v>
      </c>
      <c r="N151" s="11">
        <v>628</v>
      </c>
      <c r="O151" s="11">
        <v>737</v>
      </c>
      <c r="P151" s="11">
        <v>1388</v>
      </c>
      <c r="Q151" s="11">
        <v>271</v>
      </c>
      <c r="R151" s="11">
        <v>821</v>
      </c>
      <c r="S151" s="11">
        <v>132123</v>
      </c>
      <c r="T151" s="11">
        <v>11765</v>
      </c>
      <c r="U151" s="11">
        <v>13415</v>
      </c>
      <c r="V151" s="11">
        <v>175</v>
      </c>
      <c r="W151" s="11">
        <v>2688</v>
      </c>
      <c r="X151" s="11">
        <v>154</v>
      </c>
      <c r="Y151" s="11">
        <v>1350</v>
      </c>
      <c r="Z151" s="11">
        <v>284</v>
      </c>
      <c r="AA151" s="11">
        <v>28365</v>
      </c>
      <c r="AB151" s="11">
        <v>0</v>
      </c>
      <c r="AC151" s="11">
        <v>14973</v>
      </c>
      <c r="AD151" s="11">
        <v>4155</v>
      </c>
      <c r="AE151" s="11">
        <v>667</v>
      </c>
      <c r="AF151" s="11">
        <v>113</v>
      </c>
      <c r="AG151" s="11">
        <v>56856</v>
      </c>
      <c r="AH151" s="11">
        <v>6578</v>
      </c>
      <c r="AI151" s="11">
        <v>6390</v>
      </c>
      <c r="AJ151" s="11">
        <v>8187</v>
      </c>
      <c r="AK151" s="11">
        <v>590</v>
      </c>
      <c r="AL151" s="12">
        <v>1334</v>
      </c>
    </row>
    <row r="152" spans="1:38" x14ac:dyDescent="0.25">
      <c r="A152" s="2">
        <v>151</v>
      </c>
      <c r="B152" s="3" t="s">
        <v>335</v>
      </c>
      <c r="C152" s="2" t="s">
        <v>336</v>
      </c>
      <c r="D152" s="13">
        <f>_xlfn.XLOOKUP(Table1[[#This Row],[Country / Territory]],[1]!Table9[Country],[1]!Table9[Total Pop],"None",0)</f>
        <v>39507686</v>
      </c>
      <c r="E152" s="13">
        <f>_xlfn.XLOOKUP(Table1[[#This Row],[Country / Territory]],[1]!Table9[Country],[1]!Table9[Total F],"None",0)</f>
        <v>19945611</v>
      </c>
      <c r="F152" s="13">
        <f>_xlfn.XLOOKUP(Table1[[#This Row],[Country / Territory]],[1]!Table9[Country],[1]!Table9[Total M],"None",0)</f>
        <v>19562075</v>
      </c>
      <c r="G152" s="9">
        <v>282433</v>
      </c>
      <c r="H152" s="9">
        <v>660</v>
      </c>
      <c r="I152" s="9">
        <v>6467</v>
      </c>
      <c r="J152" s="9">
        <v>1471</v>
      </c>
      <c r="K152" s="9">
        <v>954</v>
      </c>
      <c r="L152" s="9">
        <v>0</v>
      </c>
      <c r="M152" s="9">
        <v>1623</v>
      </c>
      <c r="N152" s="9">
        <v>8197</v>
      </c>
      <c r="O152" s="9">
        <v>338</v>
      </c>
      <c r="P152" s="9">
        <v>8442</v>
      </c>
      <c r="Q152" s="9">
        <v>168</v>
      </c>
      <c r="R152" s="9">
        <v>738</v>
      </c>
      <c r="S152" s="9">
        <v>103599</v>
      </c>
      <c r="T152" s="9">
        <v>8278</v>
      </c>
      <c r="U152" s="9">
        <v>6815</v>
      </c>
      <c r="V152" s="9">
        <v>670</v>
      </c>
      <c r="W152" s="9">
        <v>5119</v>
      </c>
      <c r="X152" s="9">
        <v>23</v>
      </c>
      <c r="Y152" s="9">
        <v>963</v>
      </c>
      <c r="Z152" s="9">
        <v>30</v>
      </c>
      <c r="AA152" s="9">
        <v>45289</v>
      </c>
      <c r="AB152" s="9">
        <v>157</v>
      </c>
      <c r="AC152" s="9">
        <v>40399</v>
      </c>
      <c r="AD152" s="9">
        <v>11237</v>
      </c>
      <c r="AE152" s="9">
        <v>106</v>
      </c>
      <c r="AF152" s="9">
        <v>887</v>
      </c>
      <c r="AG152" s="9">
        <v>6227</v>
      </c>
      <c r="AH152" s="9">
        <v>6547</v>
      </c>
      <c r="AI152" s="9">
        <v>4717</v>
      </c>
      <c r="AJ152" s="9">
        <v>11578</v>
      </c>
      <c r="AK152" s="9">
        <v>647</v>
      </c>
      <c r="AL152" s="10">
        <v>87</v>
      </c>
    </row>
    <row r="153" spans="1:38" x14ac:dyDescent="0.25">
      <c r="A153" s="4">
        <v>152</v>
      </c>
      <c r="B153" s="5" t="s">
        <v>337</v>
      </c>
      <c r="C153" s="4" t="s">
        <v>338</v>
      </c>
      <c r="D153" s="13">
        <f>_xlfn.XLOOKUP(Table1[[#This Row],[Country / Territory]],[1]!Table9[Country],[1]!Table9[Total Pop],"None",0)</f>
        <v>35981607</v>
      </c>
      <c r="E153" s="13">
        <f>_xlfn.XLOOKUP(Table1[[#This Row],[Country / Territory]],[1]!Table9[Country],[1]!Table9[Total F],"None",0)</f>
        <v>17837697</v>
      </c>
      <c r="F153" s="13">
        <f>_xlfn.XLOOKUP(Table1[[#This Row],[Country / Territory]],[1]!Table9[Country],[1]!Table9[Total M],"None",0)</f>
        <v>18143910</v>
      </c>
      <c r="G153" s="11">
        <v>252727</v>
      </c>
      <c r="H153" s="11">
        <v>324</v>
      </c>
      <c r="I153" s="11">
        <v>5838</v>
      </c>
      <c r="J153" s="11">
        <v>1221</v>
      </c>
      <c r="K153" s="11">
        <v>383</v>
      </c>
      <c r="L153" s="11">
        <v>0</v>
      </c>
      <c r="M153" s="11">
        <v>1264</v>
      </c>
      <c r="N153" s="11">
        <v>949</v>
      </c>
      <c r="O153" s="11">
        <v>250</v>
      </c>
      <c r="P153" s="11">
        <v>1273</v>
      </c>
      <c r="Q153" s="11">
        <v>254</v>
      </c>
      <c r="R153" s="11">
        <v>464</v>
      </c>
      <c r="S153" s="11">
        <v>94929</v>
      </c>
      <c r="T153" s="11">
        <v>8047</v>
      </c>
      <c r="U153" s="11">
        <v>5335</v>
      </c>
      <c r="V153" s="11">
        <v>2024</v>
      </c>
      <c r="W153" s="11">
        <v>3994</v>
      </c>
      <c r="X153" s="11">
        <v>31</v>
      </c>
      <c r="Y153" s="11">
        <v>967</v>
      </c>
      <c r="Z153" s="11">
        <v>21</v>
      </c>
      <c r="AA153" s="11">
        <v>30641</v>
      </c>
      <c r="AB153" s="11">
        <v>0</v>
      </c>
      <c r="AC153" s="11">
        <v>30978</v>
      </c>
      <c r="AD153" s="11">
        <v>21994</v>
      </c>
      <c r="AE153" s="11">
        <v>78</v>
      </c>
      <c r="AF153" s="11">
        <v>358</v>
      </c>
      <c r="AG153" s="11">
        <v>5315</v>
      </c>
      <c r="AH153" s="11">
        <v>13393</v>
      </c>
      <c r="AI153" s="11">
        <v>8917</v>
      </c>
      <c r="AJ153" s="11">
        <v>12375</v>
      </c>
      <c r="AK153" s="11">
        <v>1076</v>
      </c>
      <c r="AL153" s="12">
        <v>34</v>
      </c>
    </row>
    <row r="154" spans="1:38" x14ac:dyDescent="0.25">
      <c r="A154" s="2">
        <v>153</v>
      </c>
      <c r="B154" s="3" t="s">
        <v>339</v>
      </c>
      <c r="C154" s="2" t="s">
        <v>340</v>
      </c>
      <c r="D154" s="13">
        <f>_xlfn.XLOOKUP(Table1[[#This Row],[Country / Territory]],[1]!Table9[Country],[1]!Table9[Total Pop],"None",0)</f>
        <v>30922750</v>
      </c>
      <c r="E154" s="13">
        <f>_xlfn.XLOOKUP(Table1[[#This Row],[Country / Territory]],[1]!Table9[Country],[1]!Table9[Total F],"None",0)</f>
        <v>15244543</v>
      </c>
      <c r="F154" s="13">
        <f>_xlfn.XLOOKUP(Table1[[#This Row],[Country / Territory]],[1]!Table9[Country],[1]!Table9[Total M],"None",0)</f>
        <v>15678207</v>
      </c>
      <c r="G154" s="9">
        <v>198852</v>
      </c>
      <c r="H154" s="9">
        <v>131</v>
      </c>
      <c r="I154" s="9">
        <v>5533</v>
      </c>
      <c r="J154" s="9">
        <v>2107</v>
      </c>
      <c r="K154" s="9">
        <v>155</v>
      </c>
      <c r="L154" s="9">
        <v>0</v>
      </c>
      <c r="M154" s="9">
        <v>847</v>
      </c>
      <c r="N154" s="9">
        <v>648</v>
      </c>
      <c r="O154" s="9">
        <v>33</v>
      </c>
      <c r="P154" s="9">
        <v>83</v>
      </c>
      <c r="Q154" s="9">
        <v>353</v>
      </c>
      <c r="R154" s="9">
        <v>182</v>
      </c>
      <c r="S154" s="9">
        <v>83156</v>
      </c>
      <c r="T154" s="9">
        <v>4651</v>
      </c>
      <c r="U154" s="9">
        <v>1339</v>
      </c>
      <c r="V154" s="9">
        <v>221</v>
      </c>
      <c r="W154" s="9">
        <v>1612</v>
      </c>
      <c r="X154" s="9">
        <v>5</v>
      </c>
      <c r="Y154" s="9">
        <v>378</v>
      </c>
      <c r="Z154" s="9">
        <v>168</v>
      </c>
      <c r="AA154" s="9">
        <v>45435</v>
      </c>
      <c r="AB154" s="9">
        <v>7</v>
      </c>
      <c r="AC154" s="9">
        <v>14523</v>
      </c>
      <c r="AD154" s="9">
        <v>7538</v>
      </c>
      <c r="AE154" s="9">
        <v>61</v>
      </c>
      <c r="AF154" s="9">
        <v>124</v>
      </c>
      <c r="AG154" s="9">
        <v>5123</v>
      </c>
      <c r="AH154" s="9">
        <v>12054</v>
      </c>
      <c r="AI154" s="9">
        <v>3550</v>
      </c>
      <c r="AJ154" s="9">
        <v>8567</v>
      </c>
      <c r="AK154" s="9">
        <v>241</v>
      </c>
      <c r="AL154" s="10">
        <v>27</v>
      </c>
    </row>
    <row r="155" spans="1:38" x14ac:dyDescent="0.25">
      <c r="A155" s="4">
        <v>154</v>
      </c>
      <c r="B155" s="5" t="s">
        <v>341</v>
      </c>
      <c r="C155" s="4" t="s">
        <v>342</v>
      </c>
      <c r="D155" s="13">
        <f>_xlfn.XLOOKUP(Table1[[#This Row],[Country / Territory]],[1]!Table9[Country],[1]!Table9[Total Pop],"None",0)</f>
        <v>29694585</v>
      </c>
      <c r="E155" s="13">
        <f>_xlfn.XLOOKUP(Table1[[#This Row],[Country / Territory]],[1]!Table9[Country],[1]!Table9[Total F],"None",0)</f>
        <v>14475118</v>
      </c>
      <c r="F155" s="13">
        <f>_xlfn.XLOOKUP(Table1[[#This Row],[Country / Territory]],[1]!Table9[Country],[1]!Table9[Total M],"None",0)</f>
        <v>15219467</v>
      </c>
      <c r="G155" s="11">
        <v>198600</v>
      </c>
      <c r="H155" s="11">
        <v>1648</v>
      </c>
      <c r="I155" s="11">
        <v>1615</v>
      </c>
      <c r="J155" s="11">
        <v>461</v>
      </c>
      <c r="K155" s="11">
        <v>6226</v>
      </c>
      <c r="L155" s="11">
        <v>4928</v>
      </c>
      <c r="M155" s="11">
        <v>2363</v>
      </c>
      <c r="N155" s="11">
        <v>835</v>
      </c>
      <c r="O155" s="11">
        <v>3119</v>
      </c>
      <c r="P155" s="11">
        <v>6703</v>
      </c>
      <c r="Q155" s="11">
        <v>34</v>
      </c>
      <c r="R155" s="11">
        <v>9936</v>
      </c>
      <c r="S155" s="11">
        <v>39655</v>
      </c>
      <c r="T155" s="11">
        <v>25018</v>
      </c>
      <c r="U155" s="11">
        <v>21236</v>
      </c>
      <c r="V155" s="11">
        <v>173</v>
      </c>
      <c r="W155" s="11">
        <v>1411</v>
      </c>
      <c r="X155" s="11">
        <v>5</v>
      </c>
      <c r="Y155" s="11">
        <v>11164</v>
      </c>
      <c r="Z155" s="11">
        <v>60</v>
      </c>
      <c r="AA155" s="11">
        <v>14688</v>
      </c>
      <c r="AB155" s="11">
        <v>5885</v>
      </c>
      <c r="AC155" s="11">
        <v>3289</v>
      </c>
      <c r="AD155" s="11">
        <v>4275</v>
      </c>
      <c r="AE155" s="11">
        <v>143</v>
      </c>
      <c r="AF155" s="11">
        <v>5925</v>
      </c>
      <c r="AG155" s="11">
        <v>3528</v>
      </c>
      <c r="AH155" s="11">
        <v>10131</v>
      </c>
      <c r="AI155" s="11">
        <v>4308</v>
      </c>
      <c r="AJ155" s="11">
        <v>9087</v>
      </c>
      <c r="AK155" s="11">
        <v>413</v>
      </c>
      <c r="AL155" s="12">
        <v>338</v>
      </c>
    </row>
    <row r="156" spans="1:38" x14ac:dyDescent="0.25">
      <c r="A156" s="2">
        <v>155</v>
      </c>
      <c r="B156" s="3" t="s">
        <v>343</v>
      </c>
      <c r="C156" s="2" t="s">
        <v>344</v>
      </c>
      <c r="D156" s="13">
        <f>_xlfn.XLOOKUP(Table1[[#This Row],[Country / Territory]],[1]!Table9[Country],[1]!Table9[Total Pop],"None",0)</f>
        <v>29122120</v>
      </c>
      <c r="E156" s="13">
        <f>_xlfn.XLOOKUP(Table1[[#This Row],[Country / Territory]],[1]!Table9[Country],[1]!Table9[Total F],"None",0)</f>
        <v>14091337</v>
      </c>
      <c r="F156" s="13">
        <f>_xlfn.XLOOKUP(Table1[[#This Row],[Country / Territory]],[1]!Table9[Country],[1]!Table9[Total M],"None",0)</f>
        <v>15030783</v>
      </c>
      <c r="G156" s="9">
        <v>198005</v>
      </c>
      <c r="H156" s="9">
        <v>2641</v>
      </c>
      <c r="I156" s="9">
        <v>1079</v>
      </c>
      <c r="J156" s="9">
        <v>272</v>
      </c>
      <c r="K156" s="9">
        <v>3065</v>
      </c>
      <c r="L156" s="9">
        <v>28215</v>
      </c>
      <c r="M156" s="9">
        <v>795</v>
      </c>
      <c r="N156" s="9">
        <v>1017</v>
      </c>
      <c r="O156" s="9">
        <v>2354</v>
      </c>
      <c r="P156" s="9">
        <v>31440</v>
      </c>
      <c r="Q156" s="9">
        <v>57</v>
      </c>
      <c r="R156" s="9">
        <v>11858</v>
      </c>
      <c r="S156" s="9">
        <v>21631</v>
      </c>
      <c r="T156" s="9">
        <v>15830</v>
      </c>
      <c r="U156" s="9">
        <v>18016</v>
      </c>
      <c r="V156" s="9">
        <v>151</v>
      </c>
      <c r="W156" s="9">
        <v>1547</v>
      </c>
      <c r="X156" s="9">
        <v>0</v>
      </c>
      <c r="Y156" s="9">
        <v>17376</v>
      </c>
      <c r="Z156" s="9">
        <v>96</v>
      </c>
      <c r="AA156" s="9">
        <v>10692</v>
      </c>
      <c r="AB156" s="9">
        <v>24</v>
      </c>
      <c r="AC156" s="9">
        <v>3884</v>
      </c>
      <c r="AD156" s="9">
        <v>2535</v>
      </c>
      <c r="AE156" s="9">
        <v>356</v>
      </c>
      <c r="AF156" s="9">
        <v>2956</v>
      </c>
      <c r="AG156" s="9">
        <v>6644</v>
      </c>
      <c r="AH156" s="9">
        <v>4232</v>
      </c>
      <c r="AI156" s="9">
        <v>2923</v>
      </c>
      <c r="AJ156" s="9">
        <v>5634</v>
      </c>
      <c r="AK156" s="9">
        <v>430</v>
      </c>
      <c r="AL156" s="10">
        <v>255</v>
      </c>
    </row>
    <row r="157" spans="1:38" x14ac:dyDescent="0.25">
      <c r="A157" s="4">
        <v>156</v>
      </c>
      <c r="B157" s="5" t="s">
        <v>345</v>
      </c>
      <c r="C157" s="4" t="s">
        <v>346</v>
      </c>
      <c r="D157" s="13">
        <f>_xlfn.XLOOKUP(Table1[[#This Row],[Country / Territory]],[1]!Table9[Country],[1]!Table9[Total Pop],"None",0)</f>
        <v>22803578</v>
      </c>
      <c r="E157" s="13">
        <f>_xlfn.XLOOKUP(Table1[[#This Row],[Country / Territory]],[1]!Table9[Country],[1]!Table9[Total F],"None",0)</f>
        <v>11496019</v>
      </c>
      <c r="F157" s="13">
        <f>_xlfn.XLOOKUP(Table1[[#This Row],[Country / Territory]],[1]!Table9[Country],[1]!Table9[Total M],"None",0)</f>
        <v>11307559</v>
      </c>
      <c r="G157" s="11">
        <v>183493</v>
      </c>
      <c r="H157" s="11">
        <v>353</v>
      </c>
      <c r="I157" s="11">
        <v>1730</v>
      </c>
      <c r="J157" s="11">
        <v>570</v>
      </c>
      <c r="K157" s="11">
        <v>2316</v>
      </c>
      <c r="L157" s="11">
        <v>3420</v>
      </c>
      <c r="M157" s="11">
        <v>1925</v>
      </c>
      <c r="N157" s="11">
        <v>4718</v>
      </c>
      <c r="O157" s="11">
        <v>834</v>
      </c>
      <c r="P157" s="11">
        <v>6691</v>
      </c>
      <c r="Q157" s="11">
        <v>36</v>
      </c>
      <c r="R157" s="11">
        <v>2556</v>
      </c>
      <c r="S157" s="11">
        <v>63771</v>
      </c>
      <c r="T157" s="11">
        <v>7884</v>
      </c>
      <c r="U157" s="11">
        <v>10512</v>
      </c>
      <c r="V157" s="11">
        <v>643</v>
      </c>
      <c r="W157" s="11">
        <v>7177</v>
      </c>
      <c r="X157" s="11">
        <v>34</v>
      </c>
      <c r="Y157" s="11">
        <v>3448</v>
      </c>
      <c r="Z157" s="11">
        <v>114</v>
      </c>
      <c r="AA157" s="11">
        <v>18376</v>
      </c>
      <c r="AB157" s="11">
        <v>63</v>
      </c>
      <c r="AC157" s="11">
        <v>13640</v>
      </c>
      <c r="AD157" s="11">
        <v>5593</v>
      </c>
      <c r="AE157" s="11">
        <v>108</v>
      </c>
      <c r="AF157" s="11">
        <v>2036</v>
      </c>
      <c r="AG157" s="11">
        <v>4437</v>
      </c>
      <c r="AH157" s="11">
        <v>2990</v>
      </c>
      <c r="AI157" s="11">
        <v>6511</v>
      </c>
      <c r="AJ157" s="11">
        <v>10282</v>
      </c>
      <c r="AK157" s="11">
        <v>614</v>
      </c>
      <c r="AL157" s="12">
        <v>111</v>
      </c>
    </row>
    <row r="158" spans="1:38" x14ac:dyDescent="0.25">
      <c r="A158" s="2">
        <v>157</v>
      </c>
      <c r="B158" s="3" t="s">
        <v>347</v>
      </c>
      <c r="C158" s="2" t="s">
        <v>348</v>
      </c>
      <c r="D158" s="13">
        <f>_xlfn.XLOOKUP(Table1[[#This Row],[Country / Territory]],[1]!Table9[Country],[1]!Table9[Total Pop],"None",0)</f>
        <v>24888467</v>
      </c>
      <c r="E158" s="13">
        <f>_xlfn.XLOOKUP(Table1[[#This Row],[Country / Territory]],[1]!Table9[Country],[1]!Table9[Total F],"None",0)</f>
        <v>12520691</v>
      </c>
      <c r="F158" s="13">
        <f>_xlfn.XLOOKUP(Table1[[#This Row],[Country / Territory]],[1]!Table9[Country],[1]!Table9[Total M],"None",0)</f>
        <v>12367776</v>
      </c>
      <c r="G158" s="9">
        <v>178312</v>
      </c>
      <c r="H158" s="9">
        <v>3562</v>
      </c>
      <c r="I158" s="9">
        <v>823</v>
      </c>
      <c r="J158" s="9">
        <v>218</v>
      </c>
      <c r="K158" s="9">
        <v>10246</v>
      </c>
      <c r="L158" s="9">
        <v>1997</v>
      </c>
      <c r="M158" s="9">
        <v>765</v>
      </c>
      <c r="N158" s="9">
        <v>2264</v>
      </c>
      <c r="O158" s="9">
        <v>3510</v>
      </c>
      <c r="P158" s="9">
        <v>20009</v>
      </c>
      <c r="Q158" s="9">
        <v>41</v>
      </c>
      <c r="R158" s="9">
        <v>12608</v>
      </c>
      <c r="S158" s="9">
        <v>20843</v>
      </c>
      <c r="T158" s="9">
        <v>18660</v>
      </c>
      <c r="U158" s="9">
        <v>20256</v>
      </c>
      <c r="V158" s="9">
        <v>191</v>
      </c>
      <c r="W158" s="9">
        <v>1357</v>
      </c>
      <c r="X158" s="9">
        <v>198</v>
      </c>
      <c r="Y158" s="9">
        <v>14047</v>
      </c>
      <c r="Z158" s="9">
        <v>205</v>
      </c>
      <c r="AA158" s="9">
        <v>12025</v>
      </c>
      <c r="AB158" s="9">
        <v>693</v>
      </c>
      <c r="AC158" s="9">
        <v>3181</v>
      </c>
      <c r="AD158" s="9">
        <v>2229</v>
      </c>
      <c r="AE158" s="9">
        <v>468</v>
      </c>
      <c r="AF158" s="9">
        <v>10015</v>
      </c>
      <c r="AG158" s="9">
        <v>3367</v>
      </c>
      <c r="AH158" s="9">
        <v>2887</v>
      </c>
      <c r="AI158" s="9">
        <v>4038</v>
      </c>
      <c r="AJ158" s="9">
        <v>6626</v>
      </c>
      <c r="AK158" s="9">
        <v>611</v>
      </c>
      <c r="AL158" s="10">
        <v>372</v>
      </c>
    </row>
    <row r="159" spans="1:38" x14ac:dyDescent="0.25">
      <c r="A159" s="4">
        <v>158</v>
      </c>
      <c r="B159" s="5" t="s">
        <v>349</v>
      </c>
      <c r="C159" s="4" t="s">
        <v>350</v>
      </c>
      <c r="D159" s="13">
        <f>_xlfn.XLOOKUP(Table1[[#This Row],[Country / Territory]],[1]!Table9[Country],[1]!Table9[Total Pop],"None",0)</f>
        <v>77144111</v>
      </c>
      <c r="E159" s="13">
        <f>_xlfn.XLOOKUP(Table1[[#This Row],[Country / Territory]],[1]!Table9[Country],[1]!Table9[Total F],"None",0)</f>
        <v>32006768</v>
      </c>
      <c r="F159" s="13">
        <f>_xlfn.XLOOKUP(Table1[[#This Row],[Country / Territory]],[1]!Table9[Country],[1]!Table9[Total M],"None",0)</f>
        <v>45137343</v>
      </c>
      <c r="G159" s="11">
        <v>173735</v>
      </c>
      <c r="H159" s="11">
        <v>295</v>
      </c>
      <c r="I159" s="11">
        <v>6131</v>
      </c>
      <c r="J159" s="11">
        <v>966</v>
      </c>
      <c r="K159" s="11">
        <v>23</v>
      </c>
      <c r="L159" s="11">
        <v>0</v>
      </c>
      <c r="M159" s="11">
        <v>664</v>
      </c>
      <c r="N159" s="11">
        <v>1162</v>
      </c>
      <c r="O159" s="11">
        <v>126</v>
      </c>
      <c r="P159" s="11">
        <v>77</v>
      </c>
      <c r="Q159" s="11">
        <v>352</v>
      </c>
      <c r="R159" s="11">
        <v>909</v>
      </c>
      <c r="S159" s="11">
        <v>72602</v>
      </c>
      <c r="T159" s="11">
        <v>9978</v>
      </c>
      <c r="U159" s="11">
        <v>5793</v>
      </c>
      <c r="V159" s="11">
        <v>172</v>
      </c>
      <c r="W159" s="11">
        <v>2420</v>
      </c>
      <c r="X159" s="11">
        <v>3</v>
      </c>
      <c r="Y159" s="11">
        <v>160</v>
      </c>
      <c r="Z159" s="11">
        <v>57</v>
      </c>
      <c r="AA159" s="11">
        <v>26502</v>
      </c>
      <c r="AB159" s="11">
        <v>3853</v>
      </c>
      <c r="AC159" s="11">
        <v>7012</v>
      </c>
      <c r="AD159" s="11">
        <v>6620</v>
      </c>
      <c r="AE159" s="11">
        <v>477</v>
      </c>
      <c r="AF159" s="11">
        <v>2</v>
      </c>
      <c r="AG159" s="11">
        <v>13449</v>
      </c>
      <c r="AH159" s="11">
        <v>4027</v>
      </c>
      <c r="AI159" s="11">
        <v>3451</v>
      </c>
      <c r="AJ159" s="11">
        <v>5651</v>
      </c>
      <c r="AK159" s="11">
        <v>746</v>
      </c>
      <c r="AL159" s="12">
        <v>55</v>
      </c>
    </row>
    <row r="160" spans="1:38" x14ac:dyDescent="0.25">
      <c r="A160" s="2">
        <v>159</v>
      </c>
      <c r="B160" s="3" t="s">
        <v>351</v>
      </c>
      <c r="C160" s="2" t="s">
        <v>352</v>
      </c>
      <c r="D160" s="13">
        <f>_xlfn.XLOOKUP(Table1[[#This Row],[Country / Territory]],[1]!Table9[Country],[1]!Table9[Total Pop],"None",0)</f>
        <v>18454360</v>
      </c>
      <c r="E160" s="13">
        <f>_xlfn.XLOOKUP(Table1[[#This Row],[Country / Territory]],[1]!Table9[Country],[1]!Table9[Total F],"None",0)</f>
        <v>9568776</v>
      </c>
      <c r="F160" s="13">
        <f>_xlfn.XLOOKUP(Table1[[#This Row],[Country / Territory]],[1]!Table9[Country],[1]!Table9[Total M],"None",0)</f>
        <v>8885584</v>
      </c>
      <c r="G160" s="9">
        <v>173610</v>
      </c>
      <c r="H160" s="9">
        <v>64</v>
      </c>
      <c r="I160" s="9">
        <v>4422</v>
      </c>
      <c r="J160" s="9">
        <v>1230</v>
      </c>
      <c r="K160" s="9">
        <v>30</v>
      </c>
      <c r="L160" s="9">
        <v>0</v>
      </c>
      <c r="M160" s="9">
        <v>385</v>
      </c>
      <c r="N160" s="9">
        <v>832</v>
      </c>
      <c r="O160" s="9">
        <v>25</v>
      </c>
      <c r="P160" s="9">
        <v>59</v>
      </c>
      <c r="Q160" s="9">
        <v>32</v>
      </c>
      <c r="R160" s="9">
        <v>188</v>
      </c>
      <c r="S160" s="9">
        <v>101092</v>
      </c>
      <c r="T160" s="9">
        <v>1940</v>
      </c>
      <c r="U160" s="9">
        <v>1549</v>
      </c>
      <c r="V160" s="9">
        <v>243</v>
      </c>
      <c r="W160" s="9">
        <v>3568</v>
      </c>
      <c r="X160" s="9">
        <v>1</v>
      </c>
      <c r="Y160" s="9">
        <v>30</v>
      </c>
      <c r="Z160" s="9">
        <v>167</v>
      </c>
      <c r="AA160" s="9">
        <v>40554</v>
      </c>
      <c r="AB160" s="9">
        <v>3</v>
      </c>
      <c r="AC160" s="9">
        <v>3750</v>
      </c>
      <c r="AD160" s="9">
        <v>3176</v>
      </c>
      <c r="AE160" s="9">
        <v>121</v>
      </c>
      <c r="AF160" s="9">
        <v>30</v>
      </c>
      <c r="AG160" s="9">
        <v>2028</v>
      </c>
      <c r="AH160" s="9">
        <v>2170</v>
      </c>
      <c r="AI160" s="9">
        <v>1373</v>
      </c>
      <c r="AJ160" s="9">
        <v>4156</v>
      </c>
      <c r="AK160" s="9">
        <v>392</v>
      </c>
      <c r="AL160" s="10">
        <v>0</v>
      </c>
    </row>
    <row r="161" spans="1:38" x14ac:dyDescent="0.25">
      <c r="A161" s="4">
        <v>160</v>
      </c>
      <c r="B161" s="5" t="s">
        <v>353</v>
      </c>
      <c r="C161" s="4" t="s">
        <v>354</v>
      </c>
      <c r="D161" s="13">
        <f>_xlfn.XLOOKUP(Table1[[#This Row],[Country / Territory]],[1]!Table9[Country],[1]!Table9[Total Pop],"None",0)</f>
        <v>25923483</v>
      </c>
      <c r="E161" s="13">
        <f>_xlfn.XLOOKUP(Table1[[#This Row],[Country / Territory]],[1]!Table9[Country],[1]!Table9[Total F],"None",0)</f>
        <v>12867340</v>
      </c>
      <c r="F161" s="13">
        <f>_xlfn.XLOOKUP(Table1[[#This Row],[Country / Territory]],[1]!Table9[Country],[1]!Table9[Total M],"None",0)</f>
        <v>13056143</v>
      </c>
      <c r="G161" s="11">
        <v>171689</v>
      </c>
      <c r="H161" s="11">
        <v>621</v>
      </c>
      <c r="I161" s="11">
        <v>1457</v>
      </c>
      <c r="J161" s="11">
        <v>923</v>
      </c>
      <c r="K161" s="11">
        <v>603</v>
      </c>
      <c r="L161" s="11">
        <v>0</v>
      </c>
      <c r="M161" s="11">
        <v>1855</v>
      </c>
      <c r="N161" s="11">
        <v>1038</v>
      </c>
      <c r="O161" s="11">
        <v>571</v>
      </c>
      <c r="P161" s="11">
        <v>300</v>
      </c>
      <c r="Q161" s="11">
        <v>72</v>
      </c>
      <c r="R161" s="11">
        <v>1342</v>
      </c>
      <c r="S161" s="11">
        <v>62710</v>
      </c>
      <c r="T161" s="11">
        <v>6430</v>
      </c>
      <c r="U161" s="11">
        <v>5653</v>
      </c>
      <c r="V161" s="11">
        <v>48</v>
      </c>
      <c r="W161" s="11">
        <v>2448</v>
      </c>
      <c r="X161" s="11">
        <v>212</v>
      </c>
      <c r="Y161" s="11">
        <v>3356</v>
      </c>
      <c r="Z161" s="11">
        <v>30</v>
      </c>
      <c r="AA161" s="11">
        <v>16990</v>
      </c>
      <c r="AB161" s="11">
        <v>8</v>
      </c>
      <c r="AC161" s="11">
        <v>35664</v>
      </c>
      <c r="AD161" s="11">
        <v>6447</v>
      </c>
      <c r="AE161" s="11">
        <v>76</v>
      </c>
      <c r="AF161" s="11">
        <v>597</v>
      </c>
      <c r="AG161" s="11">
        <v>2802</v>
      </c>
      <c r="AH161" s="11">
        <v>12012</v>
      </c>
      <c r="AI161" s="11">
        <v>2175</v>
      </c>
      <c r="AJ161" s="11">
        <v>4415</v>
      </c>
      <c r="AK161" s="11">
        <v>748</v>
      </c>
      <c r="AL161" s="12">
        <v>86</v>
      </c>
    </row>
    <row r="162" spans="1:38" x14ac:dyDescent="0.25">
      <c r="A162" s="2">
        <v>161</v>
      </c>
      <c r="B162" s="3" t="s">
        <v>355</v>
      </c>
      <c r="C162" s="2" t="s">
        <v>356</v>
      </c>
      <c r="D162" s="13">
        <f>_xlfn.XLOOKUP(Table1[[#This Row],[Country / Territory]],[1]!Table9[Country],[1]!Table9[Total Pop],"None",0)</f>
        <v>17934855</v>
      </c>
      <c r="E162" s="13">
        <f>_xlfn.XLOOKUP(Table1[[#This Row],[Country / Territory]],[1]!Table9[Country],[1]!Table9[Total F],"None",0)</f>
        <v>9024012</v>
      </c>
      <c r="F162" s="13">
        <f>_xlfn.XLOOKUP(Table1[[#This Row],[Country / Territory]],[1]!Table9[Country],[1]!Table9[Total M],"None",0)</f>
        <v>8910843</v>
      </c>
      <c r="G162" s="9">
        <v>148274</v>
      </c>
      <c r="H162" s="9">
        <v>2652</v>
      </c>
      <c r="I162" s="9">
        <v>1576</v>
      </c>
      <c r="J162" s="9">
        <v>361</v>
      </c>
      <c r="K162" s="9">
        <v>3555</v>
      </c>
      <c r="L162" s="9">
        <v>7616</v>
      </c>
      <c r="M162" s="9">
        <v>516</v>
      </c>
      <c r="N162" s="9">
        <v>1457</v>
      </c>
      <c r="O162" s="9">
        <v>1232</v>
      </c>
      <c r="P162" s="9">
        <v>19</v>
      </c>
      <c r="Q162" s="9">
        <v>35</v>
      </c>
      <c r="R162" s="9">
        <v>10967</v>
      </c>
      <c r="S162" s="9">
        <v>25908</v>
      </c>
      <c r="T162" s="9">
        <v>17561</v>
      </c>
      <c r="U162" s="9">
        <v>18235</v>
      </c>
      <c r="V162" s="9">
        <v>121</v>
      </c>
      <c r="W162" s="9">
        <v>961</v>
      </c>
      <c r="X162" s="9">
        <v>15</v>
      </c>
      <c r="Y162" s="9">
        <v>14204</v>
      </c>
      <c r="Z162" s="9">
        <v>131</v>
      </c>
      <c r="AA162" s="9">
        <v>11620</v>
      </c>
      <c r="AB162" s="9">
        <v>57</v>
      </c>
      <c r="AC162" s="9">
        <v>3494</v>
      </c>
      <c r="AD162" s="9">
        <v>2587</v>
      </c>
      <c r="AE162" s="9">
        <v>352</v>
      </c>
      <c r="AF162" s="9">
        <v>3395</v>
      </c>
      <c r="AG162" s="9">
        <v>3669</v>
      </c>
      <c r="AH162" s="9">
        <v>4368</v>
      </c>
      <c r="AI162" s="9">
        <v>3741</v>
      </c>
      <c r="AJ162" s="9">
        <v>7092</v>
      </c>
      <c r="AK162" s="9">
        <v>446</v>
      </c>
      <c r="AL162" s="10">
        <v>331</v>
      </c>
    </row>
    <row r="163" spans="1:38" x14ac:dyDescent="0.25">
      <c r="A163" s="4">
        <v>162</v>
      </c>
      <c r="B163" s="5" t="s">
        <v>357</v>
      </c>
      <c r="C163" s="4" t="s">
        <v>358</v>
      </c>
      <c r="D163" s="13">
        <f>_xlfn.XLOOKUP(Table1[[#This Row],[Country / Territory]],[1]!Table9[Country],[1]!Table9[Total Pop],"None",0)</f>
        <v>14885556</v>
      </c>
      <c r="E163" s="13">
        <f>_xlfn.XLOOKUP(Table1[[#This Row],[Country / Territory]],[1]!Table9[Country],[1]!Table9[Total F],"None",0)</f>
        <v>7223904</v>
      </c>
      <c r="F163" s="13">
        <f>_xlfn.XLOOKUP(Table1[[#This Row],[Country / Territory]],[1]!Table9[Country],[1]!Table9[Total M],"None",0)</f>
        <v>7661652</v>
      </c>
      <c r="G163" s="11">
        <v>139389</v>
      </c>
      <c r="H163" s="11">
        <v>670</v>
      </c>
      <c r="I163" s="11">
        <v>431</v>
      </c>
      <c r="J163" s="11">
        <v>417</v>
      </c>
      <c r="K163" s="11">
        <v>993</v>
      </c>
      <c r="L163" s="11">
        <v>4811</v>
      </c>
      <c r="M163" s="11">
        <v>2886</v>
      </c>
      <c r="N163" s="11">
        <v>1078</v>
      </c>
      <c r="O163" s="11">
        <v>1761</v>
      </c>
      <c r="P163" s="11">
        <v>561</v>
      </c>
      <c r="Q163" s="11">
        <v>80</v>
      </c>
      <c r="R163" s="11">
        <v>1322</v>
      </c>
      <c r="S163" s="11">
        <v>48085</v>
      </c>
      <c r="T163" s="11">
        <v>15041</v>
      </c>
      <c r="U163" s="11">
        <v>4499</v>
      </c>
      <c r="V163" s="11">
        <v>255</v>
      </c>
      <c r="W163" s="11">
        <v>3308</v>
      </c>
      <c r="X163" s="11">
        <v>145</v>
      </c>
      <c r="Y163" s="11">
        <v>8630</v>
      </c>
      <c r="Z163" s="11">
        <v>82</v>
      </c>
      <c r="AA163" s="11">
        <v>12015</v>
      </c>
      <c r="AB163" s="11">
        <v>4</v>
      </c>
      <c r="AC163" s="11">
        <v>7852</v>
      </c>
      <c r="AD163" s="11">
        <v>2807</v>
      </c>
      <c r="AE163" s="11">
        <v>389</v>
      </c>
      <c r="AF163" s="11">
        <v>984</v>
      </c>
      <c r="AG163" s="11">
        <v>3695</v>
      </c>
      <c r="AH163" s="11">
        <v>8138</v>
      </c>
      <c r="AI163" s="11">
        <v>3028</v>
      </c>
      <c r="AJ163" s="11">
        <v>4532</v>
      </c>
      <c r="AK163" s="11">
        <v>502</v>
      </c>
      <c r="AL163" s="12">
        <v>388</v>
      </c>
    </row>
    <row r="164" spans="1:38" x14ac:dyDescent="0.25">
      <c r="A164" s="2">
        <v>163</v>
      </c>
      <c r="B164" s="3" t="s">
        <v>359</v>
      </c>
      <c r="C164" s="2" t="s">
        <v>360</v>
      </c>
      <c r="D164" s="13">
        <f>_xlfn.XLOOKUP(Table1[[#This Row],[Country / Territory]],[1]!Table9[Country],[1]!Table9[Total Pop],"None",0)</f>
        <v>19549518</v>
      </c>
      <c r="E164" s="13">
        <f>_xlfn.XLOOKUP(Table1[[#This Row],[Country / Territory]],[1]!Table9[Country],[1]!Table9[Total F],"None",0)</f>
        <v>9170481</v>
      </c>
      <c r="F164" s="13">
        <f>_xlfn.XLOOKUP(Table1[[#This Row],[Country / Territory]],[1]!Table9[Country],[1]!Table9[Total M],"None",0)</f>
        <v>10379037</v>
      </c>
      <c r="G164" s="9">
        <v>119148</v>
      </c>
      <c r="H164" s="9">
        <v>1565</v>
      </c>
      <c r="I164" s="9">
        <v>1319</v>
      </c>
      <c r="J164" s="9">
        <v>451</v>
      </c>
      <c r="K164" s="9">
        <v>867</v>
      </c>
      <c r="L164" s="9">
        <v>4241</v>
      </c>
      <c r="M164" s="9">
        <v>935</v>
      </c>
      <c r="N164" s="9">
        <v>282</v>
      </c>
      <c r="O164" s="9">
        <v>1434</v>
      </c>
      <c r="P164" s="9">
        <v>615</v>
      </c>
      <c r="Q164" s="9">
        <v>39</v>
      </c>
      <c r="R164" s="9">
        <v>5631</v>
      </c>
      <c r="S164" s="9">
        <v>25967</v>
      </c>
      <c r="T164" s="9">
        <v>8369</v>
      </c>
      <c r="U164" s="9">
        <v>15910</v>
      </c>
      <c r="V164" s="9">
        <v>158</v>
      </c>
      <c r="W164" s="9">
        <v>1120</v>
      </c>
      <c r="X164" s="9">
        <v>263</v>
      </c>
      <c r="Y164" s="9">
        <v>6418</v>
      </c>
      <c r="Z164" s="9">
        <v>51</v>
      </c>
      <c r="AA164" s="9">
        <v>9634</v>
      </c>
      <c r="AB164" s="9">
        <v>13</v>
      </c>
      <c r="AC164" s="9">
        <v>2597</v>
      </c>
      <c r="AD164" s="9">
        <v>2879</v>
      </c>
      <c r="AE164" s="9">
        <v>91</v>
      </c>
      <c r="AF164" s="9">
        <v>665</v>
      </c>
      <c r="AG164" s="9">
        <v>2102</v>
      </c>
      <c r="AH164" s="9">
        <v>12813</v>
      </c>
      <c r="AI164" s="9">
        <v>4355</v>
      </c>
      <c r="AJ164" s="9">
        <v>7442</v>
      </c>
      <c r="AK164" s="9">
        <v>272</v>
      </c>
      <c r="AL164" s="10">
        <v>650</v>
      </c>
    </row>
    <row r="165" spans="1:38" x14ac:dyDescent="0.25">
      <c r="A165" s="4">
        <v>164</v>
      </c>
      <c r="B165" s="5" t="s">
        <v>361</v>
      </c>
      <c r="C165" s="4" t="s">
        <v>362</v>
      </c>
      <c r="D165" s="13">
        <f>_xlfn.XLOOKUP(Table1[[#This Row],[Country / Territory]],[1]!Table9[Country],[1]!Table9[Total Pop],"None",0)</f>
        <v>14328676</v>
      </c>
      <c r="E165" s="13">
        <f>_xlfn.XLOOKUP(Table1[[#This Row],[Country / Territory]],[1]!Table9[Country],[1]!Table9[Total F],"None",0)</f>
        <v>7220395</v>
      </c>
      <c r="F165" s="13">
        <f>_xlfn.XLOOKUP(Table1[[#This Row],[Country / Territory]],[1]!Table9[Country],[1]!Table9[Total M],"None",0)</f>
        <v>7108281</v>
      </c>
      <c r="G165" s="11">
        <v>109716</v>
      </c>
      <c r="H165" s="11">
        <v>48</v>
      </c>
      <c r="I165" s="11">
        <v>4564</v>
      </c>
      <c r="J165" s="11">
        <v>1263</v>
      </c>
      <c r="K165" s="11">
        <v>158</v>
      </c>
      <c r="L165" s="11">
        <v>0</v>
      </c>
      <c r="M165" s="11">
        <v>97</v>
      </c>
      <c r="N165" s="11">
        <v>212</v>
      </c>
      <c r="O165" s="11">
        <v>10</v>
      </c>
      <c r="P165" s="11">
        <v>131</v>
      </c>
      <c r="Q165" s="11">
        <v>438</v>
      </c>
      <c r="R165" s="11">
        <v>79</v>
      </c>
      <c r="S165" s="11">
        <v>41754</v>
      </c>
      <c r="T165" s="11">
        <v>3364</v>
      </c>
      <c r="U165" s="11">
        <v>278</v>
      </c>
      <c r="V165" s="11">
        <v>664</v>
      </c>
      <c r="W165" s="11">
        <v>2030</v>
      </c>
      <c r="X165" s="11">
        <v>2</v>
      </c>
      <c r="Y165" s="11">
        <v>310</v>
      </c>
      <c r="Z165" s="11">
        <v>30</v>
      </c>
      <c r="AA165" s="11">
        <v>33867</v>
      </c>
      <c r="AB165" s="11">
        <v>1</v>
      </c>
      <c r="AC165" s="11">
        <v>1831</v>
      </c>
      <c r="AD165" s="11">
        <v>2471</v>
      </c>
      <c r="AE165" s="11">
        <v>36</v>
      </c>
      <c r="AF165" s="11">
        <v>146</v>
      </c>
      <c r="AG165" s="11">
        <v>1515</v>
      </c>
      <c r="AH165" s="11">
        <v>5729</v>
      </c>
      <c r="AI165" s="11">
        <v>2781</v>
      </c>
      <c r="AJ165" s="11">
        <v>5812</v>
      </c>
      <c r="AK165" s="11">
        <v>95</v>
      </c>
      <c r="AL165" s="12">
        <v>0</v>
      </c>
    </row>
    <row r="166" spans="1:38" x14ac:dyDescent="0.25">
      <c r="A166" s="2">
        <v>165</v>
      </c>
      <c r="B166" s="3" t="s">
        <v>363</v>
      </c>
      <c r="C166" s="2" t="s">
        <v>364</v>
      </c>
      <c r="D166" s="13">
        <f>_xlfn.XLOOKUP(Table1[[#This Row],[Country / Territory]],[1]!Table9[Country],[1]!Table9[Total Pop],"None",0)</f>
        <v>15245473</v>
      </c>
      <c r="E166" s="13">
        <f>_xlfn.XLOOKUP(Table1[[#This Row],[Country / Territory]],[1]!Table9[Country],[1]!Table9[Total F],"None",0)</f>
        <v>7556202</v>
      </c>
      <c r="F166" s="13">
        <f>_xlfn.XLOOKUP(Table1[[#This Row],[Country / Territory]],[1]!Table9[Country],[1]!Table9[Total M],"None",0)</f>
        <v>7689271</v>
      </c>
      <c r="G166" s="9">
        <v>93959</v>
      </c>
      <c r="H166" s="9">
        <v>325</v>
      </c>
      <c r="I166" s="9">
        <v>2077</v>
      </c>
      <c r="J166" s="9">
        <v>439</v>
      </c>
      <c r="K166" s="9">
        <v>523</v>
      </c>
      <c r="L166" s="9">
        <v>877</v>
      </c>
      <c r="M166" s="9">
        <v>787</v>
      </c>
      <c r="N166" s="9">
        <v>1305</v>
      </c>
      <c r="O166" s="9">
        <v>282</v>
      </c>
      <c r="P166" s="9">
        <v>3319</v>
      </c>
      <c r="Q166" s="9">
        <v>73</v>
      </c>
      <c r="R166" s="9">
        <v>347</v>
      </c>
      <c r="S166" s="9">
        <v>30883</v>
      </c>
      <c r="T166" s="9">
        <v>3817</v>
      </c>
      <c r="U166" s="9">
        <v>5653</v>
      </c>
      <c r="V166" s="9">
        <v>334</v>
      </c>
      <c r="W166" s="9">
        <v>3553</v>
      </c>
      <c r="X166" s="9">
        <v>0</v>
      </c>
      <c r="Y166" s="9">
        <v>1575</v>
      </c>
      <c r="Z166" s="9">
        <v>7</v>
      </c>
      <c r="AA166" s="9">
        <v>13646</v>
      </c>
      <c r="AB166" s="9">
        <v>1</v>
      </c>
      <c r="AC166" s="9">
        <v>4743</v>
      </c>
      <c r="AD166" s="9">
        <v>4575</v>
      </c>
      <c r="AE166" s="9">
        <v>72</v>
      </c>
      <c r="AF166" s="9">
        <v>493</v>
      </c>
      <c r="AG166" s="9">
        <v>2716</v>
      </c>
      <c r="AH166" s="9">
        <v>2577</v>
      </c>
      <c r="AI166" s="9">
        <v>2868</v>
      </c>
      <c r="AJ166" s="9">
        <v>5720</v>
      </c>
      <c r="AK166" s="9">
        <v>331</v>
      </c>
      <c r="AL166" s="10">
        <v>41</v>
      </c>
    </row>
    <row r="167" spans="1:38" x14ac:dyDescent="0.25">
      <c r="A167" s="4">
        <v>166</v>
      </c>
      <c r="B167" s="5" t="s">
        <v>365</v>
      </c>
      <c r="C167" s="4" t="s">
        <v>366</v>
      </c>
      <c r="D167" s="13">
        <f>_xlfn.XLOOKUP(Table1[[#This Row],[Country / Territory]],[1]!Table9[Country],[1]!Table9[Total Pop],"None",0)</f>
        <v>12224115</v>
      </c>
      <c r="E167" s="13">
        <f>_xlfn.XLOOKUP(Table1[[#This Row],[Country / Territory]],[1]!Table9[Country],[1]!Table9[Total F],"None",0)</f>
        <v>6139854</v>
      </c>
      <c r="F167" s="13">
        <f>_xlfn.XLOOKUP(Table1[[#This Row],[Country / Territory]],[1]!Table9[Country],[1]!Table9[Total M],"None",0)</f>
        <v>6084261</v>
      </c>
      <c r="G167" s="11">
        <v>89154</v>
      </c>
      <c r="H167" s="11">
        <v>77</v>
      </c>
      <c r="I167" s="11">
        <v>3887</v>
      </c>
      <c r="J167" s="11">
        <v>1043</v>
      </c>
      <c r="K167" s="11">
        <v>30</v>
      </c>
      <c r="L167" s="11">
        <v>0</v>
      </c>
      <c r="M167" s="11">
        <v>137</v>
      </c>
      <c r="N167" s="11">
        <v>171</v>
      </c>
      <c r="O167" s="11">
        <v>16</v>
      </c>
      <c r="P167" s="11">
        <v>74</v>
      </c>
      <c r="Q167" s="11">
        <v>171</v>
      </c>
      <c r="R167" s="11">
        <v>43</v>
      </c>
      <c r="S167" s="11">
        <v>39696</v>
      </c>
      <c r="T167" s="11">
        <v>4352</v>
      </c>
      <c r="U167" s="11">
        <v>474</v>
      </c>
      <c r="V167" s="11">
        <v>77</v>
      </c>
      <c r="W167" s="11">
        <v>689</v>
      </c>
      <c r="X167" s="11">
        <v>1</v>
      </c>
      <c r="Y167" s="11">
        <v>51</v>
      </c>
      <c r="Z167" s="11">
        <v>30</v>
      </c>
      <c r="AA167" s="11">
        <v>23644</v>
      </c>
      <c r="AB167" s="11">
        <v>3</v>
      </c>
      <c r="AC167" s="11">
        <v>3133</v>
      </c>
      <c r="AD167" s="11">
        <v>2328</v>
      </c>
      <c r="AE167" s="11">
        <v>30</v>
      </c>
      <c r="AF167" s="11">
        <v>17</v>
      </c>
      <c r="AG167" s="11">
        <v>674</v>
      </c>
      <c r="AH167" s="11">
        <v>3866</v>
      </c>
      <c r="AI167" s="11">
        <v>1188</v>
      </c>
      <c r="AJ167" s="11">
        <v>3188</v>
      </c>
      <c r="AK167" s="11">
        <v>64</v>
      </c>
      <c r="AL167" s="12">
        <v>0</v>
      </c>
    </row>
    <row r="168" spans="1:38" x14ac:dyDescent="0.25">
      <c r="A168" s="2">
        <v>167</v>
      </c>
      <c r="B168" s="3" t="s">
        <v>367</v>
      </c>
      <c r="C168" s="2" t="s">
        <v>368</v>
      </c>
      <c r="D168" s="13">
        <f>_xlfn.XLOOKUP(Table1[[#This Row],[Country / Territory]],[1]!Table9[Country],[1]!Table9[Total Pop],"None",0)</f>
        <v>14064443</v>
      </c>
      <c r="E168" s="13">
        <f>_xlfn.XLOOKUP(Table1[[#This Row],[Country / Territory]],[1]!Table9[Country],[1]!Table9[Total F],"None",0)</f>
        <v>7084144</v>
      </c>
      <c r="F168" s="13">
        <f>_xlfn.XLOOKUP(Table1[[#This Row],[Country / Territory]],[1]!Table9[Country],[1]!Table9[Total M],"None",0)</f>
        <v>6980299</v>
      </c>
      <c r="G168" s="9">
        <v>81419</v>
      </c>
      <c r="H168" s="9">
        <v>865</v>
      </c>
      <c r="I168" s="9">
        <v>2245</v>
      </c>
      <c r="J168" s="9">
        <v>418</v>
      </c>
      <c r="K168" s="9">
        <v>774</v>
      </c>
      <c r="L168" s="9">
        <v>14</v>
      </c>
      <c r="M168" s="9">
        <v>947</v>
      </c>
      <c r="N168" s="9">
        <v>2135</v>
      </c>
      <c r="O168" s="9">
        <v>388</v>
      </c>
      <c r="P168" s="9">
        <v>2985</v>
      </c>
      <c r="Q168" s="9">
        <v>19</v>
      </c>
      <c r="R168" s="9">
        <v>2485</v>
      </c>
      <c r="S168" s="9">
        <v>21424</v>
      </c>
      <c r="T168" s="9">
        <v>7217</v>
      </c>
      <c r="U168" s="9">
        <v>5153</v>
      </c>
      <c r="V168" s="9">
        <v>84</v>
      </c>
      <c r="W168" s="9">
        <v>1850</v>
      </c>
      <c r="X168" s="9">
        <v>12</v>
      </c>
      <c r="Y168" s="9">
        <v>3818</v>
      </c>
      <c r="Z168" s="9">
        <v>50</v>
      </c>
      <c r="AA168" s="9">
        <v>12638</v>
      </c>
      <c r="AB168" s="9">
        <v>0</v>
      </c>
      <c r="AC168" s="9">
        <v>2177</v>
      </c>
      <c r="AD168" s="9">
        <v>1911</v>
      </c>
      <c r="AE168" s="9">
        <v>79</v>
      </c>
      <c r="AF168" s="9">
        <v>699</v>
      </c>
      <c r="AG168" s="9">
        <v>1111</v>
      </c>
      <c r="AH168" s="9">
        <v>2803</v>
      </c>
      <c r="AI168" s="9">
        <v>2489</v>
      </c>
      <c r="AJ168" s="9">
        <v>4005</v>
      </c>
      <c r="AK168" s="9">
        <v>409</v>
      </c>
      <c r="AL168" s="10">
        <v>215</v>
      </c>
    </row>
    <row r="169" spans="1:38" x14ac:dyDescent="0.25">
      <c r="A169" s="4">
        <v>168</v>
      </c>
      <c r="B169" s="5" t="s">
        <v>369</v>
      </c>
      <c r="C169" s="4" t="s">
        <v>370</v>
      </c>
      <c r="D169" s="13">
        <f>_xlfn.XLOOKUP(Table1[[#This Row],[Country / Territory]],[1]!Table9[Country],[1]!Table9[Total Pop],"None",0)</f>
        <v>27806967</v>
      </c>
      <c r="E169" s="13">
        <f>_xlfn.XLOOKUP(Table1[[#This Row],[Country / Territory]],[1]!Table9[Country],[1]!Table9[Total F],"None",0)</f>
        <v>10754329</v>
      </c>
      <c r="F169" s="13">
        <f>_xlfn.XLOOKUP(Table1[[#This Row],[Country / Territory]],[1]!Table9[Country],[1]!Table9[Total M],"None",0)</f>
        <v>17052638</v>
      </c>
      <c r="G169" s="11">
        <v>75941</v>
      </c>
      <c r="H169" s="11">
        <v>113</v>
      </c>
      <c r="I169" s="11">
        <v>1015</v>
      </c>
      <c r="J169" s="11">
        <v>331</v>
      </c>
      <c r="K169" s="11">
        <v>109</v>
      </c>
      <c r="L169" s="11">
        <v>0</v>
      </c>
      <c r="M169" s="11">
        <v>384</v>
      </c>
      <c r="N169" s="11">
        <v>697</v>
      </c>
      <c r="O169" s="11">
        <v>167</v>
      </c>
      <c r="P169" s="11">
        <v>276</v>
      </c>
      <c r="Q169" s="11">
        <v>59</v>
      </c>
      <c r="R169" s="11">
        <v>360</v>
      </c>
      <c r="S169" s="11">
        <v>25731</v>
      </c>
      <c r="T169" s="11">
        <v>1594</v>
      </c>
      <c r="U169" s="11">
        <v>2052</v>
      </c>
      <c r="V169" s="11">
        <v>116</v>
      </c>
      <c r="W169" s="11">
        <v>1897</v>
      </c>
      <c r="X169" s="11">
        <v>0</v>
      </c>
      <c r="Y169" s="11">
        <v>263</v>
      </c>
      <c r="Z169" s="11">
        <v>17</v>
      </c>
      <c r="AA169" s="11">
        <v>13173</v>
      </c>
      <c r="AB169" s="11">
        <v>58</v>
      </c>
      <c r="AC169" s="11">
        <v>9552</v>
      </c>
      <c r="AD169" s="11">
        <v>2804</v>
      </c>
      <c r="AE169" s="11">
        <v>58</v>
      </c>
      <c r="AF169" s="11">
        <v>103</v>
      </c>
      <c r="AG169" s="11">
        <v>4618</v>
      </c>
      <c r="AH169" s="11">
        <v>3538</v>
      </c>
      <c r="AI169" s="11">
        <v>2411</v>
      </c>
      <c r="AJ169" s="11">
        <v>3968</v>
      </c>
      <c r="AK169" s="11">
        <v>371</v>
      </c>
      <c r="AL169" s="12">
        <v>106</v>
      </c>
    </row>
    <row r="170" spans="1:38" x14ac:dyDescent="0.25">
      <c r="A170" s="2">
        <v>169</v>
      </c>
      <c r="B170" s="3" t="s">
        <v>371</v>
      </c>
      <c r="C170" s="2" t="s">
        <v>372</v>
      </c>
      <c r="D170" s="13">
        <f>_xlfn.XLOOKUP(Table1[[#This Row],[Country / Territory]],[1]!Table9[Country],[1]!Table9[Total Pop],"None",0)</f>
        <v>8076090</v>
      </c>
      <c r="E170" s="13">
        <f>_xlfn.XLOOKUP(Table1[[#This Row],[Country / Territory]],[1]!Table9[Country],[1]!Table9[Total F],"None",0)</f>
        <v>4198086</v>
      </c>
      <c r="F170" s="13">
        <f>_xlfn.XLOOKUP(Table1[[#This Row],[Country / Territory]],[1]!Table9[Country],[1]!Table9[Total M],"None",0)</f>
        <v>3878004</v>
      </c>
      <c r="G170" s="9">
        <v>69613</v>
      </c>
      <c r="H170" s="9">
        <v>134</v>
      </c>
      <c r="I170" s="9">
        <v>2385</v>
      </c>
      <c r="J170" s="9">
        <v>597</v>
      </c>
      <c r="K170" s="9">
        <v>255</v>
      </c>
      <c r="L170" s="9">
        <v>0</v>
      </c>
      <c r="M170" s="9">
        <v>349</v>
      </c>
      <c r="N170" s="9">
        <v>902</v>
      </c>
      <c r="O170" s="9">
        <v>59</v>
      </c>
      <c r="P170" s="9">
        <v>1189</v>
      </c>
      <c r="Q170" s="9">
        <v>24</v>
      </c>
      <c r="R170" s="9">
        <v>70</v>
      </c>
      <c r="S170" s="9">
        <v>23478</v>
      </c>
      <c r="T170" s="9">
        <v>3911</v>
      </c>
      <c r="U170" s="9">
        <v>885</v>
      </c>
      <c r="V170" s="9">
        <v>173</v>
      </c>
      <c r="W170" s="9">
        <v>398</v>
      </c>
      <c r="X170" s="9">
        <v>3</v>
      </c>
      <c r="Y170" s="9">
        <v>170</v>
      </c>
      <c r="Z170" s="9">
        <v>0</v>
      </c>
      <c r="AA170" s="9">
        <v>17933</v>
      </c>
      <c r="AB170" s="9">
        <v>10</v>
      </c>
      <c r="AC170" s="9">
        <v>7606</v>
      </c>
      <c r="AD170" s="9">
        <v>2496</v>
      </c>
      <c r="AE170" s="9">
        <v>19</v>
      </c>
      <c r="AF170" s="9">
        <v>175</v>
      </c>
      <c r="AG170" s="9">
        <v>952</v>
      </c>
      <c r="AH170" s="9">
        <v>1451</v>
      </c>
      <c r="AI170" s="9">
        <v>1124</v>
      </c>
      <c r="AJ170" s="9">
        <v>2710</v>
      </c>
      <c r="AK170" s="9">
        <v>146</v>
      </c>
      <c r="AL170" s="10">
        <v>9</v>
      </c>
    </row>
    <row r="171" spans="1:38" x14ac:dyDescent="0.25">
      <c r="A171" s="4">
        <v>170</v>
      </c>
      <c r="B171" s="5" t="s">
        <v>373</v>
      </c>
      <c r="C171" s="4" t="s">
        <v>374</v>
      </c>
      <c r="D171" s="13">
        <f>_xlfn.XLOOKUP(Table1[[#This Row],[Country / Territory]],[1]!Table9[Country],[1]!Table9[Total Pop],"None",0)</f>
        <v>36349464</v>
      </c>
      <c r="E171" s="13">
        <f>_xlfn.XLOOKUP(Table1[[#This Row],[Country / Territory]],[1]!Table9[Country],[1]!Table9[Total F],"None",0)</f>
        <v>9811641</v>
      </c>
      <c r="F171" s="13">
        <f>_xlfn.XLOOKUP(Table1[[#This Row],[Country / Territory]],[1]!Table9[Country],[1]!Table9[Total M],"None",0)</f>
        <v>26537823</v>
      </c>
      <c r="G171" s="11">
        <v>67331</v>
      </c>
      <c r="H171" s="11">
        <v>132</v>
      </c>
      <c r="I171" s="11">
        <v>525</v>
      </c>
      <c r="J171" s="11">
        <v>268</v>
      </c>
      <c r="K171" s="11">
        <v>30</v>
      </c>
      <c r="L171" s="11">
        <v>0</v>
      </c>
      <c r="M171" s="11">
        <v>752</v>
      </c>
      <c r="N171" s="11">
        <v>377</v>
      </c>
      <c r="O171" s="11">
        <v>198</v>
      </c>
      <c r="P171" s="11">
        <v>101</v>
      </c>
      <c r="Q171" s="11">
        <v>99</v>
      </c>
      <c r="R171" s="11">
        <v>227</v>
      </c>
      <c r="S171" s="11">
        <v>19305</v>
      </c>
      <c r="T171" s="11">
        <v>1251</v>
      </c>
      <c r="U171" s="11">
        <v>2754</v>
      </c>
      <c r="V171" s="11">
        <v>88</v>
      </c>
      <c r="W171" s="11">
        <v>2105</v>
      </c>
      <c r="X171" s="11">
        <v>0</v>
      </c>
      <c r="Y171" s="11">
        <v>112</v>
      </c>
      <c r="Z171" s="11">
        <v>71</v>
      </c>
      <c r="AA171" s="11">
        <v>11007</v>
      </c>
      <c r="AB171" s="11">
        <v>6</v>
      </c>
      <c r="AC171" s="11">
        <v>5367</v>
      </c>
      <c r="AD171" s="11">
        <v>2001</v>
      </c>
      <c r="AE171" s="11">
        <v>120</v>
      </c>
      <c r="AF171" s="11">
        <v>5</v>
      </c>
      <c r="AG171" s="11">
        <v>12711</v>
      </c>
      <c r="AH171" s="11">
        <v>1128</v>
      </c>
      <c r="AI171" s="11">
        <v>2625</v>
      </c>
      <c r="AJ171" s="11">
        <v>3285</v>
      </c>
      <c r="AK171" s="11">
        <v>638</v>
      </c>
      <c r="AL171" s="12">
        <v>43</v>
      </c>
    </row>
    <row r="172" spans="1:38" x14ac:dyDescent="0.25">
      <c r="A172" s="2">
        <v>171</v>
      </c>
      <c r="B172" s="3" t="s">
        <v>375</v>
      </c>
      <c r="C172" s="2" t="s">
        <v>376</v>
      </c>
      <c r="D172" s="13">
        <f>_xlfn.XLOOKUP(Table1[[#This Row],[Country / Territory]],[1]!Table9[Country],[1]!Table9[Total Pop],"None",0)</f>
        <v>10236489</v>
      </c>
      <c r="E172" s="13">
        <f>_xlfn.XLOOKUP(Table1[[#This Row],[Country / Territory]],[1]!Table9[Country],[1]!Table9[Total F],"None",0)</f>
        <v>5224706</v>
      </c>
      <c r="F172" s="13">
        <f>_xlfn.XLOOKUP(Table1[[#This Row],[Country / Territory]],[1]!Table9[Country],[1]!Table9[Total M],"None",0)</f>
        <v>5011783</v>
      </c>
      <c r="G172" s="9">
        <v>56965</v>
      </c>
      <c r="H172" s="9">
        <v>123</v>
      </c>
      <c r="I172" s="9">
        <v>1167</v>
      </c>
      <c r="J172" s="9">
        <v>323</v>
      </c>
      <c r="K172" s="9">
        <v>170</v>
      </c>
      <c r="L172" s="9">
        <v>0</v>
      </c>
      <c r="M172" s="9">
        <v>714</v>
      </c>
      <c r="N172" s="9">
        <v>2437</v>
      </c>
      <c r="O172" s="9">
        <v>109</v>
      </c>
      <c r="P172" s="9">
        <v>4845</v>
      </c>
      <c r="Q172" s="9">
        <v>43</v>
      </c>
      <c r="R172" s="9">
        <v>242</v>
      </c>
      <c r="S172" s="9">
        <v>18249</v>
      </c>
      <c r="T172" s="9">
        <v>2208</v>
      </c>
      <c r="U172" s="9">
        <v>1071</v>
      </c>
      <c r="V172" s="9">
        <v>379</v>
      </c>
      <c r="W172" s="9">
        <v>278</v>
      </c>
      <c r="X172" s="9">
        <v>107</v>
      </c>
      <c r="Y172" s="9">
        <v>147</v>
      </c>
      <c r="Z172" s="9">
        <v>30</v>
      </c>
      <c r="AA172" s="9">
        <v>11673</v>
      </c>
      <c r="AB172" s="9">
        <v>15</v>
      </c>
      <c r="AC172" s="9">
        <v>3203</v>
      </c>
      <c r="AD172" s="9">
        <v>2086</v>
      </c>
      <c r="AE172" s="9">
        <v>36</v>
      </c>
      <c r="AF172" s="9">
        <v>144</v>
      </c>
      <c r="AG172" s="9">
        <v>1751</v>
      </c>
      <c r="AH172" s="9">
        <v>1053</v>
      </c>
      <c r="AI172" s="9">
        <v>1401</v>
      </c>
      <c r="AJ172" s="9">
        <v>2655</v>
      </c>
      <c r="AK172" s="9">
        <v>297</v>
      </c>
      <c r="AL172" s="10">
        <v>9</v>
      </c>
    </row>
    <row r="173" spans="1:38" x14ac:dyDescent="0.25">
      <c r="A173" s="4">
        <v>172</v>
      </c>
      <c r="B173" s="5" t="s">
        <v>377</v>
      </c>
      <c r="C173" s="4" t="s">
        <v>378</v>
      </c>
      <c r="D173" s="13">
        <f>_xlfn.XLOOKUP(Table1[[#This Row],[Country / Territory]],[1]!Table9[Country],[1]!Table9[Total Pop],"None",0)</f>
        <v>8977511</v>
      </c>
      <c r="E173" s="13">
        <f>_xlfn.XLOOKUP(Table1[[#This Row],[Country / Territory]],[1]!Table9[Country],[1]!Table9[Total F],"None",0)</f>
        <v>4458062</v>
      </c>
      <c r="F173" s="13">
        <f>_xlfn.XLOOKUP(Table1[[#This Row],[Country / Territory]],[1]!Table9[Country],[1]!Table9[Total M],"None",0)</f>
        <v>4519449</v>
      </c>
      <c r="G173" s="11">
        <v>53199</v>
      </c>
      <c r="H173" s="11">
        <v>55</v>
      </c>
      <c r="I173" s="11">
        <v>2925</v>
      </c>
      <c r="J173" s="11">
        <v>784</v>
      </c>
      <c r="K173" s="11">
        <v>38</v>
      </c>
      <c r="L173" s="11">
        <v>0</v>
      </c>
      <c r="M173" s="11">
        <v>92</v>
      </c>
      <c r="N173" s="11">
        <v>79</v>
      </c>
      <c r="O173" s="11">
        <v>0</v>
      </c>
      <c r="P173" s="11">
        <v>48</v>
      </c>
      <c r="Q173" s="11">
        <v>265</v>
      </c>
      <c r="R173" s="11">
        <v>69</v>
      </c>
      <c r="S173" s="11">
        <v>21405</v>
      </c>
      <c r="T173" s="11">
        <v>2768</v>
      </c>
      <c r="U173" s="11">
        <v>210</v>
      </c>
      <c r="V173" s="11">
        <v>196</v>
      </c>
      <c r="W173" s="11">
        <v>1107</v>
      </c>
      <c r="X173" s="11">
        <v>76</v>
      </c>
      <c r="Y173" s="11">
        <v>81</v>
      </c>
      <c r="Z173" s="11">
        <v>30</v>
      </c>
      <c r="AA173" s="11">
        <v>16360</v>
      </c>
      <c r="AB173" s="11">
        <v>0</v>
      </c>
      <c r="AC173" s="11">
        <v>607</v>
      </c>
      <c r="AD173" s="11">
        <v>645</v>
      </c>
      <c r="AE173" s="11">
        <v>30</v>
      </c>
      <c r="AF173" s="11">
        <v>33</v>
      </c>
      <c r="AG173" s="11">
        <v>536</v>
      </c>
      <c r="AH173" s="11">
        <v>2642</v>
      </c>
      <c r="AI173" s="11">
        <v>436</v>
      </c>
      <c r="AJ173" s="11">
        <v>1622</v>
      </c>
      <c r="AK173" s="11">
        <v>60</v>
      </c>
      <c r="AL173" s="12">
        <v>0</v>
      </c>
    </row>
    <row r="174" spans="1:38" x14ac:dyDescent="0.25">
      <c r="A174" s="2">
        <v>173</v>
      </c>
      <c r="B174" s="3" t="s">
        <v>379</v>
      </c>
      <c r="C174" s="2" t="s">
        <v>380</v>
      </c>
      <c r="D174" s="13">
        <f>_xlfn.XLOOKUP(Table1[[#This Row],[Country / Territory]],[1]!Table9[Country],[1]!Table9[Total Pop],"None",0)</f>
        <v>6377760</v>
      </c>
      <c r="E174" s="13">
        <f>_xlfn.XLOOKUP(Table1[[#This Row],[Country / Territory]],[1]!Table9[Country],[1]!Table9[Total F],"None",0)</f>
        <v>3081167</v>
      </c>
      <c r="F174" s="13">
        <f>_xlfn.XLOOKUP(Table1[[#This Row],[Country / Territory]],[1]!Table9[Country],[1]!Table9[Total M],"None",0)</f>
        <v>3296593</v>
      </c>
      <c r="G174" s="9">
        <v>46023</v>
      </c>
      <c r="H174" s="9">
        <v>191</v>
      </c>
      <c r="I174" s="9">
        <v>331</v>
      </c>
      <c r="J174" s="9">
        <v>227</v>
      </c>
      <c r="K174" s="9">
        <v>361</v>
      </c>
      <c r="L174" s="9">
        <v>1247</v>
      </c>
      <c r="M174" s="9">
        <v>752</v>
      </c>
      <c r="N174" s="9">
        <v>75</v>
      </c>
      <c r="O174" s="9">
        <v>232</v>
      </c>
      <c r="P174" s="9">
        <v>248</v>
      </c>
      <c r="Q174" s="9">
        <v>28</v>
      </c>
      <c r="R174" s="9">
        <v>1071</v>
      </c>
      <c r="S174" s="9">
        <v>16362</v>
      </c>
      <c r="T174" s="9">
        <v>2803</v>
      </c>
      <c r="U174" s="9">
        <v>2385</v>
      </c>
      <c r="V174" s="9">
        <v>73</v>
      </c>
      <c r="W174" s="9">
        <v>1171</v>
      </c>
      <c r="X174" s="9">
        <v>177</v>
      </c>
      <c r="Y174" s="9">
        <v>1928</v>
      </c>
      <c r="Z174" s="9">
        <v>30</v>
      </c>
      <c r="AA174" s="9">
        <v>4143</v>
      </c>
      <c r="AB174" s="9">
        <v>0</v>
      </c>
      <c r="AC174" s="9">
        <v>2032</v>
      </c>
      <c r="AD174" s="9">
        <v>1164</v>
      </c>
      <c r="AE174" s="9">
        <v>57</v>
      </c>
      <c r="AF174" s="9">
        <v>356</v>
      </c>
      <c r="AG174" s="9">
        <v>1485</v>
      </c>
      <c r="AH174" s="9">
        <v>3751</v>
      </c>
      <c r="AI174" s="9">
        <v>1100</v>
      </c>
      <c r="AJ174" s="9">
        <v>2047</v>
      </c>
      <c r="AK174" s="9">
        <v>93</v>
      </c>
      <c r="AL174" s="10">
        <v>103</v>
      </c>
    </row>
    <row r="175" spans="1:38" x14ac:dyDescent="0.25">
      <c r="A175" s="4">
        <v>174</v>
      </c>
      <c r="B175" s="5" t="s">
        <v>381</v>
      </c>
      <c r="C175" s="4" t="s">
        <v>382</v>
      </c>
      <c r="D175" s="13">
        <f>_xlfn.XLOOKUP(Table1[[#This Row],[Country / Territory]],[1]!Table9[Country],[1]!Table9[Total Pop],"None",0)</f>
        <v>8339373</v>
      </c>
      <c r="E175" s="13">
        <f>_xlfn.XLOOKUP(Table1[[#This Row],[Country / Territory]],[1]!Table9[Country],[1]!Table9[Total F],"None",0)</f>
        <v>4138915</v>
      </c>
      <c r="F175" s="13">
        <f>_xlfn.XLOOKUP(Table1[[#This Row],[Country / Territory]],[1]!Table9[Country],[1]!Table9[Total M],"None",0)</f>
        <v>4200458</v>
      </c>
      <c r="G175" s="11">
        <v>38672</v>
      </c>
      <c r="H175" s="11">
        <v>101</v>
      </c>
      <c r="I175" s="11">
        <v>855</v>
      </c>
      <c r="J175" s="11">
        <v>205</v>
      </c>
      <c r="K175" s="11">
        <v>393</v>
      </c>
      <c r="L175" s="11">
        <v>5</v>
      </c>
      <c r="M175" s="11">
        <v>607</v>
      </c>
      <c r="N175" s="11">
        <v>1935</v>
      </c>
      <c r="O175" s="11">
        <v>114</v>
      </c>
      <c r="P175" s="11">
        <v>1842</v>
      </c>
      <c r="Q175" s="11">
        <v>21</v>
      </c>
      <c r="R175" s="11">
        <v>417</v>
      </c>
      <c r="S175" s="11">
        <v>9582</v>
      </c>
      <c r="T175" s="11">
        <v>2590</v>
      </c>
      <c r="U175" s="11">
        <v>2127</v>
      </c>
      <c r="V175" s="11">
        <v>175</v>
      </c>
      <c r="W175" s="11">
        <v>525</v>
      </c>
      <c r="X175" s="11">
        <v>64</v>
      </c>
      <c r="Y175" s="11">
        <v>442</v>
      </c>
      <c r="Z175" s="11">
        <v>0</v>
      </c>
      <c r="AA175" s="11">
        <v>5367</v>
      </c>
      <c r="AB175" s="11">
        <v>54</v>
      </c>
      <c r="AC175" s="11">
        <v>2757</v>
      </c>
      <c r="AD175" s="11">
        <v>1792</v>
      </c>
      <c r="AE175" s="11">
        <v>60</v>
      </c>
      <c r="AF175" s="11">
        <v>361</v>
      </c>
      <c r="AG175" s="11">
        <v>1785</v>
      </c>
      <c r="AH175" s="11">
        <v>1325</v>
      </c>
      <c r="AI175" s="11">
        <v>1151</v>
      </c>
      <c r="AJ175" s="11">
        <v>1902</v>
      </c>
      <c r="AK175" s="11">
        <v>107</v>
      </c>
      <c r="AL175" s="12">
        <v>11</v>
      </c>
    </row>
    <row r="176" spans="1:38" x14ac:dyDescent="0.25">
      <c r="A176" s="2">
        <v>175</v>
      </c>
      <c r="B176" s="3" t="s">
        <v>383</v>
      </c>
      <c r="C176" s="2" t="s">
        <v>384</v>
      </c>
      <c r="D176" s="13">
        <f>_xlfn.XLOOKUP(Table1[[#This Row],[Country / Territory]],[1]!Table9[Country],[1]!Table9[Total Pop],"None",0)</f>
        <v>10620278</v>
      </c>
      <c r="E176" s="13">
        <f>_xlfn.XLOOKUP(Table1[[#This Row],[Country / Territory]],[1]!Table9[Country],[1]!Table9[Total F],"None",0)</f>
        <v>4933047</v>
      </c>
      <c r="F176" s="13">
        <f>_xlfn.XLOOKUP(Table1[[#This Row],[Country / Territory]],[1]!Table9[Country],[1]!Table9[Total M],"None",0)</f>
        <v>5687231</v>
      </c>
      <c r="G176" s="9">
        <v>36804</v>
      </c>
      <c r="H176" s="9">
        <v>57</v>
      </c>
      <c r="I176" s="9">
        <v>401</v>
      </c>
      <c r="J176" s="9">
        <v>218</v>
      </c>
      <c r="K176" s="9">
        <v>30</v>
      </c>
      <c r="L176" s="9">
        <v>0</v>
      </c>
      <c r="M176" s="9">
        <v>507</v>
      </c>
      <c r="N176" s="9">
        <v>168</v>
      </c>
      <c r="O176" s="9">
        <v>74</v>
      </c>
      <c r="P176" s="9">
        <v>99</v>
      </c>
      <c r="Q176" s="9">
        <v>83</v>
      </c>
      <c r="R176" s="9">
        <v>560</v>
      </c>
      <c r="S176" s="9">
        <v>10987</v>
      </c>
      <c r="T176" s="9">
        <v>1429</v>
      </c>
      <c r="U176" s="9">
        <v>727</v>
      </c>
      <c r="V176" s="9">
        <v>31</v>
      </c>
      <c r="W176" s="9">
        <v>487</v>
      </c>
      <c r="X176" s="9">
        <v>3</v>
      </c>
      <c r="Y176" s="9">
        <v>67</v>
      </c>
      <c r="Z176" s="9">
        <v>26</v>
      </c>
      <c r="AA176" s="9">
        <v>9522</v>
      </c>
      <c r="AB176" s="9">
        <v>0</v>
      </c>
      <c r="AC176" s="9">
        <v>3592</v>
      </c>
      <c r="AD176" s="9">
        <v>1354</v>
      </c>
      <c r="AE176" s="9">
        <v>40</v>
      </c>
      <c r="AF176" s="9">
        <v>12</v>
      </c>
      <c r="AG176" s="9">
        <v>1850</v>
      </c>
      <c r="AH176" s="9">
        <v>2274</v>
      </c>
      <c r="AI176" s="9">
        <v>668</v>
      </c>
      <c r="AJ176" s="9">
        <v>1308</v>
      </c>
      <c r="AK176" s="9">
        <v>133</v>
      </c>
      <c r="AL176" s="10">
        <v>97</v>
      </c>
    </row>
    <row r="177" spans="1:38" x14ac:dyDescent="0.25">
      <c r="A177" s="4">
        <v>176</v>
      </c>
      <c r="B177" s="5" t="s">
        <v>385</v>
      </c>
      <c r="C177" s="4" t="s">
        <v>386</v>
      </c>
      <c r="D177" s="13">
        <f>_xlfn.XLOOKUP(Table1[[#This Row],[Country / Territory]],[1]!Table9[Country],[1]!Table9[Total Pop],"None",0)</f>
        <v>5617701</v>
      </c>
      <c r="E177" s="13">
        <f>_xlfn.XLOOKUP(Table1[[#This Row],[Country / Territory]],[1]!Table9[Country],[1]!Table9[Total F],"None",0)</f>
        <v>2731573</v>
      </c>
      <c r="F177" s="13">
        <f>_xlfn.XLOOKUP(Table1[[#This Row],[Country / Territory]],[1]!Table9[Country],[1]!Table9[Total M],"None",0)</f>
        <v>2886128</v>
      </c>
      <c r="G177" s="11">
        <v>34510</v>
      </c>
      <c r="H177" s="11">
        <v>93</v>
      </c>
      <c r="I177" s="11">
        <v>638</v>
      </c>
      <c r="J177" s="11">
        <v>249</v>
      </c>
      <c r="K177" s="11">
        <v>131</v>
      </c>
      <c r="L177" s="11">
        <v>0</v>
      </c>
      <c r="M177" s="11">
        <v>388</v>
      </c>
      <c r="N177" s="11">
        <v>338</v>
      </c>
      <c r="O177" s="11">
        <v>58</v>
      </c>
      <c r="P177" s="11">
        <v>183</v>
      </c>
      <c r="Q177" s="11">
        <v>30</v>
      </c>
      <c r="R177" s="11">
        <v>455</v>
      </c>
      <c r="S177" s="11">
        <v>13383</v>
      </c>
      <c r="T177" s="11">
        <v>1816</v>
      </c>
      <c r="U177" s="11">
        <v>748</v>
      </c>
      <c r="V177" s="11">
        <v>53</v>
      </c>
      <c r="W177" s="11">
        <v>722</v>
      </c>
      <c r="X177" s="11">
        <v>191</v>
      </c>
      <c r="Y177" s="11">
        <v>359</v>
      </c>
      <c r="Z177" s="11">
        <v>30</v>
      </c>
      <c r="AA177" s="11">
        <v>3773</v>
      </c>
      <c r="AB177" s="11">
        <v>0</v>
      </c>
      <c r="AC177" s="11">
        <v>2902</v>
      </c>
      <c r="AD177" s="11">
        <v>1455</v>
      </c>
      <c r="AE177" s="11">
        <v>30</v>
      </c>
      <c r="AF177" s="11">
        <v>126</v>
      </c>
      <c r="AG177" s="11">
        <v>884</v>
      </c>
      <c r="AH177" s="11">
        <v>3118</v>
      </c>
      <c r="AI177" s="11">
        <v>786</v>
      </c>
      <c r="AJ177" s="11">
        <v>1481</v>
      </c>
      <c r="AK177" s="11">
        <v>60</v>
      </c>
      <c r="AL177" s="12">
        <v>30</v>
      </c>
    </row>
    <row r="178" spans="1:38" x14ac:dyDescent="0.25">
      <c r="A178" s="2">
        <v>177</v>
      </c>
      <c r="B178" s="3" t="s">
        <v>387</v>
      </c>
      <c r="C178" s="2" t="s">
        <v>388</v>
      </c>
      <c r="D178" s="13">
        <f>_xlfn.XLOOKUP(Table1[[#This Row],[Country / Territory]],[1]!Table9[Country],[1]!Table9[Total Pop],"None",0)</f>
        <v>9840711</v>
      </c>
      <c r="E178" s="13">
        <f>_xlfn.XLOOKUP(Table1[[#This Row],[Country / Territory]],[1]!Table9[Country],[1]!Table9[Total F],"None",0)</f>
        <v>4387472</v>
      </c>
      <c r="F178" s="13">
        <f>_xlfn.XLOOKUP(Table1[[#This Row],[Country / Territory]],[1]!Table9[Country],[1]!Table9[Total M],"None",0)</f>
        <v>5453239</v>
      </c>
      <c r="G178" s="9">
        <v>32937</v>
      </c>
      <c r="H178" s="9">
        <v>84</v>
      </c>
      <c r="I178" s="9">
        <v>641</v>
      </c>
      <c r="J178" s="9">
        <v>180</v>
      </c>
      <c r="K178" s="9">
        <v>301</v>
      </c>
      <c r="L178" s="9">
        <v>0</v>
      </c>
      <c r="M178" s="9">
        <v>691</v>
      </c>
      <c r="N178" s="9">
        <v>182</v>
      </c>
      <c r="O178" s="9">
        <v>383</v>
      </c>
      <c r="P178" s="9">
        <v>12</v>
      </c>
      <c r="Q178" s="9">
        <v>27</v>
      </c>
      <c r="R178" s="9">
        <v>766</v>
      </c>
      <c r="S178" s="9">
        <v>11463</v>
      </c>
      <c r="T178" s="9">
        <v>859</v>
      </c>
      <c r="U178" s="9">
        <v>3814</v>
      </c>
      <c r="V178" s="9">
        <v>30</v>
      </c>
      <c r="W178" s="9">
        <v>392</v>
      </c>
      <c r="X178" s="9">
        <v>102</v>
      </c>
      <c r="Y178" s="9">
        <v>627</v>
      </c>
      <c r="Z178" s="9">
        <v>0</v>
      </c>
      <c r="AA178" s="9">
        <v>4030</v>
      </c>
      <c r="AB178" s="9">
        <v>0</v>
      </c>
      <c r="AC178" s="9">
        <v>993</v>
      </c>
      <c r="AD178" s="9">
        <v>1686</v>
      </c>
      <c r="AE178" s="9">
        <v>0</v>
      </c>
      <c r="AF178" s="9">
        <v>236</v>
      </c>
      <c r="AG178" s="9">
        <v>554</v>
      </c>
      <c r="AH178" s="9">
        <v>3024</v>
      </c>
      <c r="AI178" s="9">
        <v>660</v>
      </c>
      <c r="AJ178" s="9">
        <v>1023</v>
      </c>
      <c r="AK178" s="9">
        <v>140</v>
      </c>
      <c r="AL178" s="10">
        <v>37</v>
      </c>
    </row>
    <row r="179" spans="1:38" x14ac:dyDescent="0.25">
      <c r="A179" s="4">
        <v>178</v>
      </c>
      <c r="B179" s="5" t="s">
        <v>389</v>
      </c>
      <c r="C179" s="4" t="s">
        <v>390</v>
      </c>
      <c r="D179" s="13">
        <f>_xlfn.XLOOKUP(Table1[[#This Row],[Country / Territory]],[1]!Table9[Country],[1]!Table9[Total Pop],"None",0)</f>
        <v>4915749</v>
      </c>
      <c r="E179" s="13">
        <f>_xlfn.XLOOKUP(Table1[[#This Row],[Country / Territory]],[1]!Table9[Country],[1]!Table9[Total F],"None",0)</f>
        <v>2468967</v>
      </c>
      <c r="F179" s="13">
        <f>_xlfn.XLOOKUP(Table1[[#This Row],[Country / Territory]],[1]!Table9[Country],[1]!Table9[Total M],"None",0)</f>
        <v>2446782</v>
      </c>
      <c r="G179" s="11">
        <v>29986</v>
      </c>
      <c r="H179" s="11">
        <v>261</v>
      </c>
      <c r="I179" s="11">
        <v>345</v>
      </c>
      <c r="J179" s="11">
        <v>106</v>
      </c>
      <c r="K179" s="11">
        <v>518</v>
      </c>
      <c r="L179" s="11">
        <v>2112</v>
      </c>
      <c r="M179" s="11">
        <v>107</v>
      </c>
      <c r="N179" s="11">
        <v>256</v>
      </c>
      <c r="O179" s="11">
        <v>264</v>
      </c>
      <c r="P179" s="11">
        <v>12</v>
      </c>
      <c r="Q179" s="11">
        <v>10</v>
      </c>
      <c r="R179" s="11">
        <v>771</v>
      </c>
      <c r="S179" s="11">
        <v>6589</v>
      </c>
      <c r="T179" s="11">
        <v>3704</v>
      </c>
      <c r="U179" s="11">
        <v>1971</v>
      </c>
      <c r="V179" s="11">
        <v>37</v>
      </c>
      <c r="W179" s="11">
        <v>88</v>
      </c>
      <c r="X179" s="11">
        <v>0</v>
      </c>
      <c r="Y179" s="11">
        <v>1598</v>
      </c>
      <c r="Z179" s="11">
        <v>0</v>
      </c>
      <c r="AA179" s="11">
        <v>3103</v>
      </c>
      <c r="AB179" s="11">
        <v>0</v>
      </c>
      <c r="AC179" s="11">
        <v>332</v>
      </c>
      <c r="AD179" s="11">
        <v>1144</v>
      </c>
      <c r="AE179" s="11">
        <v>38</v>
      </c>
      <c r="AF179" s="11">
        <v>496</v>
      </c>
      <c r="AG179" s="11">
        <v>518</v>
      </c>
      <c r="AH179" s="11">
        <v>2147</v>
      </c>
      <c r="AI179" s="11">
        <v>1402</v>
      </c>
      <c r="AJ179" s="11">
        <v>1941</v>
      </c>
      <c r="AK179" s="11">
        <v>13</v>
      </c>
      <c r="AL179" s="12">
        <v>103</v>
      </c>
    </row>
    <row r="180" spans="1:38" x14ac:dyDescent="0.25">
      <c r="A180" s="2">
        <v>179</v>
      </c>
      <c r="B180" s="3" t="s">
        <v>391</v>
      </c>
      <c r="C180" s="2" t="s">
        <v>392</v>
      </c>
      <c r="D180" s="13">
        <f>_xlfn.XLOOKUP(Table1[[#This Row],[Country / Territory]],[1]!Table9[Country],[1]!Table9[Total Pop],"None",0)</f>
        <v>2943165</v>
      </c>
      <c r="E180" s="13">
        <f>_xlfn.XLOOKUP(Table1[[#This Row],[Country / Territory]],[1]!Table9[Country],[1]!Table9[Total F],"None",0)</f>
        <v>1510567</v>
      </c>
      <c r="F180" s="13">
        <f>_xlfn.XLOOKUP(Table1[[#This Row],[Country / Territory]],[1]!Table9[Country],[1]!Table9[Total M],"None",0)</f>
        <v>1432598</v>
      </c>
      <c r="G180" s="9">
        <v>29939</v>
      </c>
      <c r="H180" s="9">
        <v>455</v>
      </c>
      <c r="I180" s="9">
        <v>166</v>
      </c>
      <c r="J180" s="9">
        <v>116</v>
      </c>
      <c r="K180" s="9">
        <v>576</v>
      </c>
      <c r="L180" s="9">
        <v>0</v>
      </c>
      <c r="M180" s="9">
        <v>173</v>
      </c>
      <c r="N180" s="9">
        <v>128</v>
      </c>
      <c r="O180" s="9">
        <v>283</v>
      </c>
      <c r="P180" s="9">
        <v>48</v>
      </c>
      <c r="Q180" s="9">
        <v>30</v>
      </c>
      <c r="R180" s="9">
        <v>2087</v>
      </c>
      <c r="S180" s="9">
        <v>8385</v>
      </c>
      <c r="T180" s="9">
        <v>1142</v>
      </c>
      <c r="U180" s="9">
        <v>1706</v>
      </c>
      <c r="V180" s="9">
        <v>11</v>
      </c>
      <c r="W180" s="9">
        <v>807</v>
      </c>
      <c r="X180" s="9">
        <v>0</v>
      </c>
      <c r="Y180" s="9">
        <v>1687</v>
      </c>
      <c r="Z180" s="9">
        <v>16</v>
      </c>
      <c r="AA180" s="9">
        <v>2910</v>
      </c>
      <c r="AB180" s="9">
        <v>14</v>
      </c>
      <c r="AC180" s="9">
        <v>2987</v>
      </c>
      <c r="AD180" s="9">
        <v>853</v>
      </c>
      <c r="AE180" s="9">
        <v>52</v>
      </c>
      <c r="AF180" s="9">
        <v>565</v>
      </c>
      <c r="AG180" s="9">
        <v>537</v>
      </c>
      <c r="AH180" s="9">
        <v>1903</v>
      </c>
      <c r="AI180" s="9">
        <v>732</v>
      </c>
      <c r="AJ180" s="9">
        <v>1440</v>
      </c>
      <c r="AK180" s="9">
        <v>30</v>
      </c>
      <c r="AL180" s="10">
        <v>100</v>
      </c>
    </row>
    <row r="181" spans="1:38" x14ac:dyDescent="0.25">
      <c r="A181" s="4">
        <v>180</v>
      </c>
      <c r="B181" s="5" t="s">
        <v>393</v>
      </c>
      <c r="C181" s="4" t="s">
        <v>394</v>
      </c>
      <c r="D181" s="13">
        <f>_xlfn.XLOOKUP(Table1[[#This Row],[Country / Territory]],[1]!Table9[Country],[1]!Table9[Total Pop],"None",0)</f>
        <v>4861807</v>
      </c>
      <c r="E181" s="13">
        <f>_xlfn.XLOOKUP(Table1[[#This Row],[Country / Territory]],[1]!Table9[Country],[1]!Table9[Total F],"None",0)</f>
        <v>2445824</v>
      </c>
      <c r="F181" s="13">
        <f>_xlfn.XLOOKUP(Table1[[#This Row],[Country / Territory]],[1]!Table9[Country],[1]!Table9[Total M],"None",0)</f>
        <v>2415983</v>
      </c>
      <c r="G181" s="11">
        <v>29352</v>
      </c>
      <c r="H181" s="11">
        <v>75</v>
      </c>
      <c r="I181" s="11">
        <v>731</v>
      </c>
      <c r="J181" s="11">
        <v>220</v>
      </c>
      <c r="K181" s="11">
        <v>182</v>
      </c>
      <c r="L181" s="11">
        <v>0</v>
      </c>
      <c r="M181" s="11">
        <v>282</v>
      </c>
      <c r="N181" s="11">
        <v>774</v>
      </c>
      <c r="O181" s="11">
        <v>51</v>
      </c>
      <c r="P181" s="11">
        <v>254</v>
      </c>
      <c r="Q181" s="11">
        <v>22</v>
      </c>
      <c r="R181" s="11">
        <v>159</v>
      </c>
      <c r="S181" s="11">
        <v>9576</v>
      </c>
      <c r="T181" s="11">
        <v>1195</v>
      </c>
      <c r="U181" s="11">
        <v>886</v>
      </c>
      <c r="V181" s="11">
        <v>180</v>
      </c>
      <c r="W181" s="11">
        <v>322</v>
      </c>
      <c r="X181" s="11">
        <v>27</v>
      </c>
      <c r="Y181" s="11">
        <v>164</v>
      </c>
      <c r="Z181" s="11">
        <v>0</v>
      </c>
      <c r="AA181" s="11">
        <v>5985</v>
      </c>
      <c r="AB181" s="11">
        <v>8</v>
      </c>
      <c r="AC181" s="11">
        <v>2787</v>
      </c>
      <c r="AD181" s="11">
        <v>1258</v>
      </c>
      <c r="AE181" s="11">
        <v>9</v>
      </c>
      <c r="AF181" s="11">
        <v>156</v>
      </c>
      <c r="AG181" s="11">
        <v>771</v>
      </c>
      <c r="AH181" s="11">
        <v>1211</v>
      </c>
      <c r="AI181" s="11">
        <v>723</v>
      </c>
      <c r="AJ181" s="11">
        <v>1246</v>
      </c>
      <c r="AK181" s="11">
        <v>98</v>
      </c>
      <c r="AL181" s="12">
        <v>0</v>
      </c>
    </row>
    <row r="182" spans="1:38" x14ac:dyDescent="0.25">
      <c r="A182" s="2">
        <v>181</v>
      </c>
      <c r="B182" s="3" t="s">
        <v>395</v>
      </c>
      <c r="C182" s="2" t="s">
        <v>396</v>
      </c>
      <c r="D182" s="13">
        <f>_xlfn.XLOOKUP(Table1[[#This Row],[Country / Territory]],[1]!Table9[Country],[1]!Table9[Total Pop],"None",0)</f>
        <v>3231352</v>
      </c>
      <c r="E182" s="13">
        <f>_xlfn.XLOOKUP(Table1[[#This Row],[Country / Territory]],[1]!Table9[Country],[1]!Table9[Total F],"None",0)</f>
        <v>1681499</v>
      </c>
      <c r="F182" s="13">
        <f>_xlfn.XLOOKUP(Table1[[#This Row],[Country / Territory]],[1]!Table9[Country],[1]!Table9[Total M],"None",0)</f>
        <v>1549853</v>
      </c>
      <c r="G182" s="9">
        <v>27512</v>
      </c>
      <c r="H182" s="9">
        <v>13</v>
      </c>
      <c r="I182" s="9">
        <v>589</v>
      </c>
      <c r="J182" s="9">
        <v>260</v>
      </c>
      <c r="K182" s="9">
        <v>97</v>
      </c>
      <c r="L182" s="9">
        <v>0</v>
      </c>
      <c r="M182" s="9">
        <v>181</v>
      </c>
      <c r="N182" s="9">
        <v>973</v>
      </c>
      <c r="O182" s="9">
        <v>21</v>
      </c>
      <c r="P182" s="9">
        <v>333</v>
      </c>
      <c r="Q182" s="9">
        <v>69</v>
      </c>
      <c r="R182" s="9">
        <v>30</v>
      </c>
      <c r="S182" s="9">
        <v>10542</v>
      </c>
      <c r="T182" s="9">
        <v>552</v>
      </c>
      <c r="U182" s="9">
        <v>314</v>
      </c>
      <c r="V182" s="9">
        <v>303</v>
      </c>
      <c r="W182" s="9">
        <v>248</v>
      </c>
      <c r="X182" s="9">
        <v>19</v>
      </c>
      <c r="Y182" s="9">
        <v>30</v>
      </c>
      <c r="Z182" s="9">
        <v>25</v>
      </c>
      <c r="AA182" s="9">
        <v>6766</v>
      </c>
      <c r="AB182" s="9">
        <v>0</v>
      </c>
      <c r="AC182" s="9">
        <v>1674</v>
      </c>
      <c r="AD182" s="9">
        <v>1027</v>
      </c>
      <c r="AE182" s="9">
        <v>12</v>
      </c>
      <c r="AF182" s="9">
        <v>93</v>
      </c>
      <c r="AG182" s="9">
        <v>523</v>
      </c>
      <c r="AH182" s="9">
        <v>642</v>
      </c>
      <c r="AI182" s="9">
        <v>794</v>
      </c>
      <c r="AJ182" s="9">
        <v>1331</v>
      </c>
      <c r="AK182" s="9">
        <v>51</v>
      </c>
      <c r="AL182" s="10">
        <v>0</v>
      </c>
    </row>
    <row r="183" spans="1:38" x14ac:dyDescent="0.25">
      <c r="A183" s="4">
        <v>182</v>
      </c>
      <c r="B183" s="5" t="s">
        <v>397</v>
      </c>
      <c r="C183" s="4" t="s">
        <v>398</v>
      </c>
      <c r="D183" s="13">
        <f>_xlfn.XLOOKUP(Table1[[#This Row],[Country / Territory]],[1]!Table9[Country],[1]!Table9[Total Pop],"None",0)</f>
        <v>3276746</v>
      </c>
      <c r="E183" s="13">
        <f>_xlfn.XLOOKUP(Table1[[#This Row],[Country / Territory]],[1]!Table9[Country],[1]!Table9[Total F],"None",0)</f>
        <v>1637166</v>
      </c>
      <c r="F183" s="13">
        <f>_xlfn.XLOOKUP(Table1[[#This Row],[Country / Territory]],[1]!Table9[Country],[1]!Table9[Total M],"None",0)</f>
        <v>1639580</v>
      </c>
      <c r="G183" s="11">
        <v>24537</v>
      </c>
      <c r="H183" s="11">
        <v>89</v>
      </c>
      <c r="I183" s="11">
        <v>198</v>
      </c>
      <c r="J183" s="11">
        <v>127</v>
      </c>
      <c r="K183" s="11">
        <v>128</v>
      </c>
      <c r="L183" s="11">
        <v>0</v>
      </c>
      <c r="M183" s="11">
        <v>385</v>
      </c>
      <c r="N183" s="11">
        <v>270</v>
      </c>
      <c r="O183" s="11">
        <v>123</v>
      </c>
      <c r="P183" s="11">
        <v>454</v>
      </c>
      <c r="Q183" s="11">
        <v>30</v>
      </c>
      <c r="R183" s="11">
        <v>500</v>
      </c>
      <c r="S183" s="11">
        <v>8366</v>
      </c>
      <c r="T183" s="11">
        <v>1358</v>
      </c>
      <c r="U183" s="11">
        <v>758</v>
      </c>
      <c r="V183" s="11">
        <v>48</v>
      </c>
      <c r="W183" s="11">
        <v>711</v>
      </c>
      <c r="X183" s="11">
        <v>53</v>
      </c>
      <c r="Y183" s="11">
        <v>501</v>
      </c>
      <c r="Z183" s="11">
        <v>15</v>
      </c>
      <c r="AA183" s="11">
        <v>2691</v>
      </c>
      <c r="AB183" s="11">
        <v>0</v>
      </c>
      <c r="AC183" s="11">
        <v>2292</v>
      </c>
      <c r="AD183" s="11">
        <v>1146</v>
      </c>
      <c r="AE183" s="11">
        <v>30</v>
      </c>
      <c r="AF183" s="11">
        <v>124</v>
      </c>
      <c r="AG183" s="11">
        <v>702</v>
      </c>
      <c r="AH183" s="11">
        <v>1790</v>
      </c>
      <c r="AI183" s="11">
        <v>565</v>
      </c>
      <c r="AJ183" s="11">
        <v>1017</v>
      </c>
      <c r="AK183" s="11">
        <v>48</v>
      </c>
      <c r="AL183" s="12">
        <v>18</v>
      </c>
    </row>
    <row r="184" spans="1:38" x14ac:dyDescent="0.25">
      <c r="A184" s="2">
        <v>183</v>
      </c>
      <c r="B184" s="3" t="s">
        <v>399</v>
      </c>
      <c r="C184" s="2" t="s">
        <v>400</v>
      </c>
      <c r="D184" s="13">
        <f>_xlfn.XLOOKUP(Table1[[#This Row],[Country / Territory]],[1]!Table9[Country],[1]!Table9[Total Pop],"None",0)</f>
        <v>3323728</v>
      </c>
      <c r="E184" s="13">
        <f>_xlfn.XLOOKUP(Table1[[#This Row],[Country / Territory]],[1]!Table9[Country],[1]!Table9[Total F],"None",0)</f>
        <v>1620196</v>
      </c>
      <c r="F184" s="13">
        <f>_xlfn.XLOOKUP(Table1[[#This Row],[Country / Territory]],[1]!Table9[Country],[1]!Table9[Total M],"None",0)</f>
        <v>1703532</v>
      </c>
      <c r="G184" s="9">
        <v>23445</v>
      </c>
      <c r="H184" s="9">
        <v>67</v>
      </c>
      <c r="I184" s="9">
        <v>504</v>
      </c>
      <c r="J184" s="9">
        <v>135</v>
      </c>
      <c r="K184" s="9">
        <v>250</v>
      </c>
      <c r="L184" s="9">
        <v>0</v>
      </c>
      <c r="M184" s="9">
        <v>227</v>
      </c>
      <c r="N184" s="9">
        <v>576</v>
      </c>
      <c r="O184" s="9">
        <v>31</v>
      </c>
      <c r="P184" s="9">
        <v>696</v>
      </c>
      <c r="Q184" s="9">
        <v>0</v>
      </c>
      <c r="R184" s="9">
        <v>101</v>
      </c>
      <c r="S184" s="9">
        <v>8390</v>
      </c>
      <c r="T184" s="9">
        <v>988</v>
      </c>
      <c r="U184" s="9">
        <v>788</v>
      </c>
      <c r="V184" s="9">
        <v>161</v>
      </c>
      <c r="W184" s="9">
        <v>213</v>
      </c>
      <c r="X184" s="9">
        <v>25</v>
      </c>
      <c r="Y184" s="9">
        <v>173</v>
      </c>
      <c r="Z184" s="9">
        <v>0</v>
      </c>
      <c r="AA184" s="9">
        <v>4385</v>
      </c>
      <c r="AB184" s="9">
        <v>4</v>
      </c>
      <c r="AC184" s="9">
        <v>2447</v>
      </c>
      <c r="AD184" s="9">
        <v>849</v>
      </c>
      <c r="AE184" s="9">
        <v>3</v>
      </c>
      <c r="AF184" s="9">
        <v>226</v>
      </c>
      <c r="AG184" s="9">
        <v>331</v>
      </c>
      <c r="AH184" s="9">
        <v>433</v>
      </c>
      <c r="AI184" s="9">
        <v>405</v>
      </c>
      <c r="AJ184" s="9">
        <v>933</v>
      </c>
      <c r="AK184" s="9">
        <v>104</v>
      </c>
      <c r="AL184" s="10">
        <v>0</v>
      </c>
    </row>
    <row r="185" spans="1:38" x14ac:dyDescent="0.25">
      <c r="A185" s="4">
        <v>184</v>
      </c>
      <c r="B185" s="5" t="s">
        <v>401</v>
      </c>
      <c r="C185" s="4" t="s">
        <v>402</v>
      </c>
      <c r="D185" s="13">
        <f>_xlfn.XLOOKUP(Table1[[#This Row],[Country / Territory]],[1]!Table9[Country],[1]!Table9[Total Pop],"None",0)</f>
        <v>4772518</v>
      </c>
      <c r="E185" s="13">
        <f>_xlfn.XLOOKUP(Table1[[#This Row],[Country / Territory]],[1]!Table9[Country],[1]!Table9[Total F],"None",0)</f>
        <v>2316347</v>
      </c>
      <c r="F185" s="13">
        <f>_xlfn.XLOOKUP(Table1[[#This Row],[Country / Territory]],[1]!Table9[Country],[1]!Table9[Total M],"None",0)</f>
        <v>2456171</v>
      </c>
      <c r="G185" s="11">
        <v>23062</v>
      </c>
      <c r="H185" s="11">
        <v>46</v>
      </c>
      <c r="I185" s="11">
        <v>587</v>
      </c>
      <c r="J185" s="11">
        <v>192</v>
      </c>
      <c r="K185" s="11">
        <v>73</v>
      </c>
      <c r="L185" s="11">
        <v>0</v>
      </c>
      <c r="M185" s="11">
        <v>189</v>
      </c>
      <c r="N185" s="11">
        <v>176</v>
      </c>
      <c r="O185" s="11">
        <v>30</v>
      </c>
      <c r="P185" s="11">
        <v>154</v>
      </c>
      <c r="Q185" s="11">
        <v>29</v>
      </c>
      <c r="R185" s="11">
        <v>113</v>
      </c>
      <c r="S185" s="11">
        <v>9418</v>
      </c>
      <c r="T185" s="11">
        <v>763</v>
      </c>
      <c r="U185" s="11">
        <v>604</v>
      </c>
      <c r="V185" s="11">
        <v>44</v>
      </c>
      <c r="W185" s="11">
        <v>796</v>
      </c>
      <c r="X185" s="11">
        <v>3</v>
      </c>
      <c r="Y185" s="11">
        <v>115</v>
      </c>
      <c r="Z185" s="11">
        <v>0</v>
      </c>
      <c r="AA185" s="11">
        <v>4101</v>
      </c>
      <c r="AB185" s="11">
        <v>15</v>
      </c>
      <c r="AC185" s="11">
        <v>979</v>
      </c>
      <c r="AD185" s="11">
        <v>936</v>
      </c>
      <c r="AE185" s="11">
        <v>0</v>
      </c>
      <c r="AF185" s="11">
        <v>73</v>
      </c>
      <c r="AG185" s="11">
        <v>590</v>
      </c>
      <c r="AH185" s="11">
        <v>1194</v>
      </c>
      <c r="AI185" s="11">
        <v>789</v>
      </c>
      <c r="AJ185" s="11">
        <v>1023</v>
      </c>
      <c r="AK185" s="11">
        <v>30</v>
      </c>
      <c r="AL185" s="12">
        <v>0</v>
      </c>
    </row>
    <row r="186" spans="1:38" x14ac:dyDescent="0.25">
      <c r="A186" s="2">
        <v>185</v>
      </c>
      <c r="B186" s="3" t="s">
        <v>403</v>
      </c>
      <c r="C186" s="2" t="s">
        <v>404</v>
      </c>
      <c r="D186" s="13">
        <f>_xlfn.XLOOKUP(Table1[[#This Row],[Country / Territory]],[1]!Table9[Country],[1]!Table9[Total Pop],"None",0)</f>
        <v>3269919</v>
      </c>
      <c r="E186" s="13">
        <f>_xlfn.XLOOKUP(Table1[[#This Row],[Country / Territory]],[1]!Table9[Country],[1]!Table9[Total F],"None",0)</f>
        <v>1618167</v>
      </c>
      <c r="F186" s="13">
        <f>_xlfn.XLOOKUP(Table1[[#This Row],[Country / Territory]],[1]!Table9[Country],[1]!Table9[Total M],"None",0)</f>
        <v>1651752</v>
      </c>
      <c r="G186" s="9">
        <v>21108</v>
      </c>
      <c r="H186" s="9">
        <v>39</v>
      </c>
      <c r="I186" s="9">
        <v>478</v>
      </c>
      <c r="J186" s="9">
        <v>118</v>
      </c>
      <c r="K186" s="9">
        <v>98</v>
      </c>
      <c r="L186" s="9">
        <v>0</v>
      </c>
      <c r="M186" s="9">
        <v>212</v>
      </c>
      <c r="N186" s="9">
        <v>166</v>
      </c>
      <c r="O186" s="9">
        <v>30</v>
      </c>
      <c r="P186" s="9">
        <v>206</v>
      </c>
      <c r="Q186" s="9">
        <v>25</v>
      </c>
      <c r="R186" s="9">
        <v>31</v>
      </c>
      <c r="S186" s="9">
        <v>7700</v>
      </c>
      <c r="T186" s="9">
        <v>1491</v>
      </c>
      <c r="U186" s="9">
        <v>475</v>
      </c>
      <c r="V186" s="9">
        <v>84</v>
      </c>
      <c r="W186" s="9">
        <v>149</v>
      </c>
      <c r="X186" s="9">
        <v>19</v>
      </c>
      <c r="Y186" s="9">
        <v>61</v>
      </c>
      <c r="Z186" s="9">
        <v>0</v>
      </c>
      <c r="AA186" s="9">
        <v>4397</v>
      </c>
      <c r="AB186" s="9">
        <v>3</v>
      </c>
      <c r="AC186" s="9">
        <v>1856</v>
      </c>
      <c r="AD186" s="9">
        <v>1025</v>
      </c>
      <c r="AE186" s="9">
        <v>17</v>
      </c>
      <c r="AF186" s="9">
        <v>87</v>
      </c>
      <c r="AG186" s="9">
        <v>327</v>
      </c>
      <c r="AH186" s="9">
        <v>524</v>
      </c>
      <c r="AI186" s="9">
        <v>466</v>
      </c>
      <c r="AJ186" s="9">
        <v>950</v>
      </c>
      <c r="AK186" s="9">
        <v>68</v>
      </c>
      <c r="AL186" s="10">
        <v>6</v>
      </c>
    </row>
    <row r="187" spans="1:38" x14ac:dyDescent="0.25">
      <c r="A187" s="4">
        <v>186</v>
      </c>
      <c r="B187" s="5" t="s">
        <v>405</v>
      </c>
      <c r="C187" s="4" t="s">
        <v>406</v>
      </c>
      <c r="D187" s="13">
        <f>_xlfn.XLOOKUP(Table1[[#This Row],[Country / Territory]],[1]!Table9[Country],[1]!Table9[Total Pop],"None",0)</f>
        <v>2071465</v>
      </c>
      <c r="E187" s="13">
        <f>_xlfn.XLOOKUP(Table1[[#This Row],[Country / Territory]],[1]!Table9[Country],[1]!Table9[Total F],"None",0)</f>
        <v>1041710</v>
      </c>
      <c r="F187" s="13">
        <f>_xlfn.XLOOKUP(Table1[[#This Row],[Country / Territory]],[1]!Table9[Country],[1]!Table9[Total M],"None",0)</f>
        <v>1029755</v>
      </c>
      <c r="G187" s="11">
        <v>20350</v>
      </c>
      <c r="H187" s="11">
        <v>39</v>
      </c>
      <c r="I187" s="11">
        <v>586</v>
      </c>
      <c r="J187" s="11">
        <v>156</v>
      </c>
      <c r="K187" s="11">
        <v>88</v>
      </c>
      <c r="L187" s="11">
        <v>0</v>
      </c>
      <c r="M187" s="11">
        <v>129</v>
      </c>
      <c r="N187" s="11">
        <v>211</v>
      </c>
      <c r="O187" s="11">
        <v>30</v>
      </c>
      <c r="P187" s="11">
        <v>191</v>
      </c>
      <c r="Q187" s="11">
        <v>9</v>
      </c>
      <c r="R187" s="11">
        <v>117</v>
      </c>
      <c r="S187" s="11">
        <v>7296</v>
      </c>
      <c r="T187" s="11">
        <v>918</v>
      </c>
      <c r="U187" s="11">
        <v>390</v>
      </c>
      <c r="V187" s="11">
        <v>103</v>
      </c>
      <c r="W187" s="11">
        <v>112</v>
      </c>
      <c r="X187" s="11">
        <v>114</v>
      </c>
      <c r="Y187" s="11">
        <v>78</v>
      </c>
      <c r="Z187" s="11">
        <v>0</v>
      </c>
      <c r="AA187" s="11">
        <v>4758</v>
      </c>
      <c r="AB187" s="11">
        <v>1</v>
      </c>
      <c r="AC187" s="11">
        <v>1714</v>
      </c>
      <c r="AD187" s="11">
        <v>1034</v>
      </c>
      <c r="AE187" s="11">
        <v>51</v>
      </c>
      <c r="AF187" s="11">
        <v>73</v>
      </c>
      <c r="AG187" s="11">
        <v>402</v>
      </c>
      <c r="AH187" s="11">
        <v>609</v>
      </c>
      <c r="AI187" s="11">
        <v>327</v>
      </c>
      <c r="AJ187" s="11">
        <v>753</v>
      </c>
      <c r="AK187" s="11">
        <v>60</v>
      </c>
      <c r="AL187" s="12">
        <v>1</v>
      </c>
    </row>
    <row r="188" spans="1:38" x14ac:dyDescent="0.25">
      <c r="A188" s="2">
        <v>187</v>
      </c>
      <c r="B188" s="3" t="s">
        <v>407</v>
      </c>
      <c r="C188" s="2" t="s">
        <v>408</v>
      </c>
      <c r="D188" s="13">
        <f>_xlfn.XLOOKUP(Table1[[#This Row],[Country / Territory]],[1]!Table9[Country],[1]!Table9[Total Pop],"None",0)</f>
        <v>2508668</v>
      </c>
      <c r="E188" s="13">
        <f>_xlfn.XLOOKUP(Table1[[#This Row],[Country / Territory]],[1]!Table9[Country],[1]!Table9[Total F],"None",0)</f>
        <v>1199698</v>
      </c>
      <c r="F188" s="13">
        <f>_xlfn.XLOOKUP(Table1[[#This Row],[Country / Territory]],[1]!Table9[Country],[1]!Table9[Total M],"None",0)</f>
        <v>1308970</v>
      </c>
      <c r="G188" s="9">
        <v>19081</v>
      </c>
      <c r="H188" s="9">
        <v>120</v>
      </c>
      <c r="I188" s="9">
        <v>446</v>
      </c>
      <c r="J188" s="9">
        <v>142</v>
      </c>
      <c r="K188" s="9">
        <v>66</v>
      </c>
      <c r="L188" s="9">
        <v>0</v>
      </c>
      <c r="M188" s="9">
        <v>325</v>
      </c>
      <c r="N188" s="9">
        <v>156</v>
      </c>
      <c r="O188" s="9">
        <v>33</v>
      </c>
      <c r="P188" s="9">
        <v>123</v>
      </c>
      <c r="Q188" s="9">
        <v>24</v>
      </c>
      <c r="R188" s="9">
        <v>145</v>
      </c>
      <c r="S188" s="9">
        <v>6339</v>
      </c>
      <c r="T188" s="9">
        <v>1676</v>
      </c>
      <c r="U188" s="9">
        <v>324</v>
      </c>
      <c r="V188" s="9">
        <v>26</v>
      </c>
      <c r="W188" s="9">
        <v>228</v>
      </c>
      <c r="X188" s="9">
        <v>8</v>
      </c>
      <c r="Y188" s="9">
        <v>160</v>
      </c>
      <c r="Z188" s="9">
        <v>0</v>
      </c>
      <c r="AA188" s="9">
        <v>3820</v>
      </c>
      <c r="AB188" s="9">
        <v>0</v>
      </c>
      <c r="AC188" s="9">
        <v>502</v>
      </c>
      <c r="AD188" s="9">
        <v>948</v>
      </c>
      <c r="AE188" s="9">
        <v>21</v>
      </c>
      <c r="AF188" s="9">
        <v>61</v>
      </c>
      <c r="AG188" s="9">
        <v>397</v>
      </c>
      <c r="AH188" s="9">
        <v>847</v>
      </c>
      <c r="AI188" s="9">
        <v>787</v>
      </c>
      <c r="AJ188" s="9">
        <v>1280</v>
      </c>
      <c r="AK188" s="9">
        <v>60</v>
      </c>
      <c r="AL188" s="10">
        <v>17</v>
      </c>
    </row>
    <row r="189" spans="1:38" x14ac:dyDescent="0.25">
      <c r="A189" s="4">
        <v>188</v>
      </c>
      <c r="B189" s="5" t="s">
        <v>409</v>
      </c>
      <c r="C189" s="4" t="s">
        <v>410</v>
      </c>
      <c r="D189" s="13">
        <f>_xlfn.XLOOKUP(Table1[[#This Row],[Country / Territory]],[1]!Table9[Country],[1]!Table9[Total Pop],"None",0)</f>
        <v>3121069</v>
      </c>
      <c r="E189" s="13">
        <f>_xlfn.XLOOKUP(Table1[[#This Row],[Country / Territory]],[1]!Table9[Country],[1]!Table9[Total F],"None",0)</f>
        <v>1557214</v>
      </c>
      <c r="F189" s="13">
        <f>_xlfn.XLOOKUP(Table1[[#This Row],[Country / Territory]],[1]!Table9[Country],[1]!Table9[Total M],"None",0)</f>
        <v>1563855</v>
      </c>
      <c r="G189" s="11">
        <v>17580</v>
      </c>
      <c r="H189" s="11">
        <v>214</v>
      </c>
      <c r="I189" s="11">
        <v>402</v>
      </c>
      <c r="J189" s="11">
        <v>125</v>
      </c>
      <c r="K189" s="11">
        <v>120</v>
      </c>
      <c r="L189" s="11">
        <v>0</v>
      </c>
      <c r="M189" s="11">
        <v>170</v>
      </c>
      <c r="N189" s="11">
        <v>87</v>
      </c>
      <c r="O189" s="11">
        <v>79</v>
      </c>
      <c r="P189" s="11">
        <v>39</v>
      </c>
      <c r="Q189" s="11">
        <v>0</v>
      </c>
      <c r="R189" s="11">
        <v>182</v>
      </c>
      <c r="S189" s="11">
        <v>4613</v>
      </c>
      <c r="T189" s="11">
        <v>1024</v>
      </c>
      <c r="U189" s="11">
        <v>595</v>
      </c>
      <c r="V189" s="11">
        <v>30</v>
      </c>
      <c r="W189" s="11">
        <v>141</v>
      </c>
      <c r="X189" s="11">
        <v>11</v>
      </c>
      <c r="Y189" s="11">
        <v>111</v>
      </c>
      <c r="Z189" s="11">
        <v>0</v>
      </c>
      <c r="AA189" s="11">
        <v>3292</v>
      </c>
      <c r="AB189" s="11">
        <v>0</v>
      </c>
      <c r="AC189" s="11">
        <v>1952</v>
      </c>
      <c r="AD189" s="11">
        <v>773</v>
      </c>
      <c r="AE189" s="11">
        <v>35</v>
      </c>
      <c r="AF189" s="11">
        <v>117</v>
      </c>
      <c r="AG189" s="11">
        <v>296</v>
      </c>
      <c r="AH189" s="11">
        <v>1251</v>
      </c>
      <c r="AI189" s="11">
        <v>560</v>
      </c>
      <c r="AJ189" s="11">
        <v>1096</v>
      </c>
      <c r="AK189" s="11">
        <v>90</v>
      </c>
      <c r="AL189" s="12">
        <v>175</v>
      </c>
    </row>
    <row r="190" spans="1:38" x14ac:dyDescent="0.25">
      <c r="A190" s="2">
        <v>189</v>
      </c>
      <c r="B190" s="3" t="s">
        <v>411</v>
      </c>
      <c r="C190" s="2" t="s">
        <v>412</v>
      </c>
      <c r="D190" s="13">
        <f>_xlfn.XLOOKUP(Table1[[#This Row],[Country / Territory]],[1]!Table9[Country],[1]!Table9[Total Pop],"None",0)</f>
        <v>998245</v>
      </c>
      <c r="E190" s="13">
        <f>_xlfn.XLOOKUP(Table1[[#This Row],[Country / Territory]],[1]!Table9[Country],[1]!Table9[Total F],"None",0)</f>
        <v>513533</v>
      </c>
      <c r="F190" s="13">
        <f>_xlfn.XLOOKUP(Table1[[#This Row],[Country / Territory]],[1]!Table9[Country],[1]!Table9[Total M],"None",0)</f>
        <v>484712</v>
      </c>
      <c r="G190" s="9">
        <v>14591</v>
      </c>
      <c r="H190" s="9">
        <v>0</v>
      </c>
      <c r="I190" s="9">
        <v>723</v>
      </c>
      <c r="J190" s="9">
        <v>172</v>
      </c>
      <c r="K190" s="9">
        <v>0</v>
      </c>
      <c r="L190" s="9">
        <v>0</v>
      </c>
      <c r="M190" s="9">
        <v>30</v>
      </c>
      <c r="N190" s="9">
        <v>0</v>
      </c>
      <c r="O190" s="9">
        <v>0</v>
      </c>
      <c r="P190" s="9">
        <v>28</v>
      </c>
      <c r="Q190" s="9">
        <v>0</v>
      </c>
      <c r="R190" s="9">
        <v>38</v>
      </c>
      <c r="S190" s="9">
        <v>5363</v>
      </c>
      <c r="T190" s="9">
        <v>651</v>
      </c>
      <c r="U190" s="9">
        <v>10</v>
      </c>
      <c r="V190" s="9">
        <v>0</v>
      </c>
      <c r="W190" s="9">
        <v>164</v>
      </c>
      <c r="X190" s="9">
        <v>0</v>
      </c>
      <c r="Y190" s="9">
        <v>0</v>
      </c>
      <c r="Z190" s="9">
        <v>0</v>
      </c>
      <c r="AA190" s="9">
        <v>5775</v>
      </c>
      <c r="AB190" s="9">
        <v>0</v>
      </c>
      <c r="AC190" s="9">
        <v>108</v>
      </c>
      <c r="AD190" s="9">
        <v>190</v>
      </c>
      <c r="AE190" s="9">
        <v>5</v>
      </c>
      <c r="AF190" s="9">
        <v>0</v>
      </c>
      <c r="AG190" s="9">
        <v>70</v>
      </c>
      <c r="AH190" s="9">
        <v>558</v>
      </c>
      <c r="AI190" s="9">
        <v>209</v>
      </c>
      <c r="AJ190" s="9">
        <v>497</v>
      </c>
      <c r="AK190" s="9">
        <v>0</v>
      </c>
      <c r="AL190" s="10">
        <v>0</v>
      </c>
    </row>
    <row r="191" spans="1:38" x14ac:dyDescent="0.25">
      <c r="A191" s="4">
        <v>190</v>
      </c>
      <c r="B191" s="5" t="s">
        <v>413</v>
      </c>
      <c r="C191" s="4" t="s">
        <v>414</v>
      </c>
      <c r="D191" s="13">
        <f>_xlfn.XLOOKUP(Table1[[#This Row],[Country / Territory]],[1]!Table9[Country],[1]!Table9[Total Pop],"None",0)</f>
        <v>2359716</v>
      </c>
      <c r="E191" s="13">
        <f>_xlfn.XLOOKUP(Table1[[#This Row],[Country / Territory]],[1]!Table9[Country],[1]!Table9[Total F],"None",0)</f>
        <v>1237898</v>
      </c>
      <c r="F191" s="13">
        <f>_xlfn.XLOOKUP(Table1[[#This Row],[Country / Territory]],[1]!Table9[Country],[1]!Table9[Total M],"None",0)</f>
        <v>1121818</v>
      </c>
      <c r="G191" s="11">
        <v>14265</v>
      </c>
      <c r="H191" s="11">
        <v>40</v>
      </c>
      <c r="I191" s="11">
        <v>428</v>
      </c>
      <c r="J191" s="11">
        <v>117</v>
      </c>
      <c r="K191" s="11">
        <v>87</v>
      </c>
      <c r="L191" s="11">
        <v>0</v>
      </c>
      <c r="M191" s="11">
        <v>120</v>
      </c>
      <c r="N191" s="11">
        <v>119</v>
      </c>
      <c r="O191" s="11">
        <v>0</v>
      </c>
      <c r="P191" s="11">
        <v>258</v>
      </c>
      <c r="Q191" s="11">
        <v>6</v>
      </c>
      <c r="R191" s="11">
        <v>11</v>
      </c>
      <c r="S191" s="11">
        <v>5264</v>
      </c>
      <c r="T191" s="11">
        <v>779</v>
      </c>
      <c r="U191" s="11">
        <v>253</v>
      </c>
      <c r="V191" s="11">
        <v>138</v>
      </c>
      <c r="W191" s="11">
        <v>65</v>
      </c>
      <c r="X191" s="11">
        <v>39</v>
      </c>
      <c r="Y191" s="11">
        <v>62</v>
      </c>
      <c r="Z191" s="11">
        <v>0</v>
      </c>
      <c r="AA191" s="11">
        <v>3004</v>
      </c>
      <c r="AB191" s="11">
        <v>1</v>
      </c>
      <c r="AC191" s="11">
        <v>1329</v>
      </c>
      <c r="AD191" s="11">
        <v>693</v>
      </c>
      <c r="AE191" s="11">
        <v>8</v>
      </c>
      <c r="AF191" s="11">
        <v>84</v>
      </c>
      <c r="AG191" s="11">
        <v>187</v>
      </c>
      <c r="AH191" s="11">
        <v>246</v>
      </c>
      <c r="AI191" s="11">
        <v>301</v>
      </c>
      <c r="AJ191" s="11">
        <v>566</v>
      </c>
      <c r="AK191" s="11">
        <v>60</v>
      </c>
      <c r="AL191" s="12">
        <v>0</v>
      </c>
    </row>
    <row r="192" spans="1:38" x14ac:dyDescent="0.25">
      <c r="A192" s="2">
        <v>191</v>
      </c>
      <c r="B192" s="3" t="s">
        <v>415</v>
      </c>
      <c r="C192" s="2" t="s">
        <v>416</v>
      </c>
      <c r="D192" s="13">
        <f>_xlfn.XLOOKUP(Table1[[#This Row],[Country / Territory]],[1]!Table9[Country],[1]!Table9[Total Pop],"None",0)</f>
        <v>1855795</v>
      </c>
      <c r="E192" s="13">
        <f>_xlfn.XLOOKUP(Table1[[#This Row],[Country / Territory]],[1]!Table9[Country],[1]!Table9[Total F],"None",0)</f>
        <v>932337</v>
      </c>
      <c r="F192" s="13">
        <f>_xlfn.XLOOKUP(Table1[[#This Row],[Country / Territory]],[1]!Table9[Country],[1]!Table9[Total M],"None",0)</f>
        <v>923458</v>
      </c>
      <c r="G192" s="9">
        <v>13810</v>
      </c>
      <c r="H192" s="9">
        <v>10</v>
      </c>
      <c r="I192" s="9">
        <v>562</v>
      </c>
      <c r="J192" s="9">
        <v>170</v>
      </c>
      <c r="K192" s="9">
        <v>6</v>
      </c>
      <c r="L192" s="9">
        <v>0</v>
      </c>
      <c r="M192" s="9">
        <v>72</v>
      </c>
      <c r="N192" s="9">
        <v>63</v>
      </c>
      <c r="O192" s="9">
        <v>0</v>
      </c>
      <c r="P192" s="9">
        <v>313</v>
      </c>
      <c r="Q192" s="9">
        <v>33</v>
      </c>
      <c r="R192" s="9">
        <v>0</v>
      </c>
      <c r="S192" s="9">
        <v>5384</v>
      </c>
      <c r="T192" s="9">
        <v>418</v>
      </c>
      <c r="U192" s="9">
        <v>64</v>
      </c>
      <c r="V192" s="9">
        <v>30</v>
      </c>
      <c r="W192" s="9">
        <v>94</v>
      </c>
      <c r="X192" s="9">
        <v>6</v>
      </c>
      <c r="Y192" s="9">
        <v>11</v>
      </c>
      <c r="Z192" s="9">
        <v>0</v>
      </c>
      <c r="AA192" s="9">
        <v>4156</v>
      </c>
      <c r="AB192" s="9">
        <v>0</v>
      </c>
      <c r="AC192" s="9">
        <v>615</v>
      </c>
      <c r="AD192" s="9">
        <v>391</v>
      </c>
      <c r="AE192" s="9">
        <v>5</v>
      </c>
      <c r="AF192" s="9">
        <v>0</v>
      </c>
      <c r="AG192" s="9">
        <v>258</v>
      </c>
      <c r="AH192" s="9">
        <v>400</v>
      </c>
      <c r="AI192" s="9">
        <v>233</v>
      </c>
      <c r="AJ192" s="9">
        <v>516</v>
      </c>
      <c r="AK192" s="9">
        <v>0</v>
      </c>
      <c r="AL192" s="10">
        <v>0</v>
      </c>
    </row>
    <row r="193" spans="1:38" x14ac:dyDescent="0.25">
      <c r="A193" s="4">
        <v>192</v>
      </c>
      <c r="B193" s="5" t="s">
        <v>417</v>
      </c>
      <c r="C193" s="4" t="s">
        <v>418</v>
      </c>
      <c r="D193" s="13">
        <f>_xlfn.XLOOKUP(Table1[[#This Row],[Country / Territory]],[1]!Table9[Country],[1]!Table9[Total Pop],"None",0)</f>
        <v>1686456</v>
      </c>
      <c r="E193" s="13">
        <f>_xlfn.XLOOKUP(Table1[[#This Row],[Country / Territory]],[1]!Table9[Country],[1]!Table9[Total F],"None",0)</f>
        <v>788184</v>
      </c>
      <c r="F193" s="13">
        <f>_xlfn.XLOOKUP(Table1[[#This Row],[Country / Territory]],[1]!Table9[Country],[1]!Table9[Total M],"None",0)</f>
        <v>898272</v>
      </c>
      <c r="G193" s="11">
        <v>12804</v>
      </c>
      <c r="H193" s="11">
        <v>50</v>
      </c>
      <c r="I193" s="11">
        <v>153</v>
      </c>
      <c r="J193" s="11">
        <v>77</v>
      </c>
      <c r="K193" s="11">
        <v>13</v>
      </c>
      <c r="L193" s="11">
        <v>0</v>
      </c>
      <c r="M193" s="11">
        <v>150</v>
      </c>
      <c r="N193" s="11">
        <v>231</v>
      </c>
      <c r="O193" s="11">
        <v>0</v>
      </c>
      <c r="P193" s="11">
        <v>85</v>
      </c>
      <c r="Q193" s="11">
        <v>47</v>
      </c>
      <c r="R193" s="11">
        <v>122</v>
      </c>
      <c r="S193" s="11">
        <v>3419</v>
      </c>
      <c r="T193" s="11">
        <v>346</v>
      </c>
      <c r="U193" s="11">
        <v>259</v>
      </c>
      <c r="V193" s="11">
        <v>319</v>
      </c>
      <c r="W193" s="11">
        <v>1366</v>
      </c>
      <c r="X193" s="11">
        <v>2</v>
      </c>
      <c r="Y193" s="11">
        <v>30</v>
      </c>
      <c r="Z193" s="11">
        <v>60</v>
      </c>
      <c r="AA193" s="11">
        <v>3845</v>
      </c>
      <c r="AB193" s="11">
        <v>0</v>
      </c>
      <c r="AC193" s="11">
        <v>159</v>
      </c>
      <c r="AD193" s="11">
        <v>147</v>
      </c>
      <c r="AE193" s="11">
        <v>26</v>
      </c>
      <c r="AF193" s="11">
        <v>10</v>
      </c>
      <c r="AG193" s="11">
        <v>106</v>
      </c>
      <c r="AH193" s="11">
        <v>829</v>
      </c>
      <c r="AI193" s="11">
        <v>229</v>
      </c>
      <c r="AJ193" s="11">
        <v>635</v>
      </c>
      <c r="AK193" s="11">
        <v>89</v>
      </c>
      <c r="AL193" s="12">
        <v>0</v>
      </c>
    </row>
    <row r="194" spans="1:38" x14ac:dyDescent="0.25">
      <c r="A194" s="2">
        <v>193</v>
      </c>
      <c r="B194" s="3" t="s">
        <v>419</v>
      </c>
      <c r="C194" s="2" t="s">
        <v>420</v>
      </c>
      <c r="D194" s="13">
        <f>_xlfn.XLOOKUP(Table1[[#This Row],[Country / Territory]],[1]!Table9[Country],[1]!Table9[Total Pop],"None",0)</f>
        <v>2123164</v>
      </c>
      <c r="E194" s="13">
        <f>_xlfn.XLOOKUP(Table1[[#This Row],[Country / Territory]],[1]!Table9[Country],[1]!Table9[Total F],"None",0)</f>
        <v>1021633</v>
      </c>
      <c r="F194" s="13">
        <f>_xlfn.XLOOKUP(Table1[[#This Row],[Country / Territory]],[1]!Table9[Country],[1]!Table9[Total M],"None",0)</f>
        <v>1101531</v>
      </c>
      <c r="G194" s="9">
        <v>12532</v>
      </c>
      <c r="H194" s="9">
        <v>0</v>
      </c>
      <c r="I194" s="9">
        <v>614</v>
      </c>
      <c r="J194" s="9">
        <v>137</v>
      </c>
      <c r="K194" s="9">
        <v>0</v>
      </c>
      <c r="L194" s="9">
        <v>0</v>
      </c>
      <c r="M194" s="9">
        <v>0</v>
      </c>
      <c r="N194" s="9">
        <v>15</v>
      </c>
      <c r="O194" s="9">
        <v>0</v>
      </c>
      <c r="P194" s="9">
        <v>85</v>
      </c>
      <c r="Q194" s="9">
        <v>0</v>
      </c>
      <c r="R194" s="9">
        <v>0</v>
      </c>
      <c r="S194" s="9">
        <v>3526</v>
      </c>
      <c r="T194" s="9">
        <v>390</v>
      </c>
      <c r="U194" s="9">
        <v>24</v>
      </c>
      <c r="V194" s="9">
        <v>30</v>
      </c>
      <c r="W194" s="9">
        <v>220</v>
      </c>
      <c r="X194" s="9">
        <v>0</v>
      </c>
      <c r="Y194" s="9">
        <v>16</v>
      </c>
      <c r="Z194" s="9">
        <v>0</v>
      </c>
      <c r="AA194" s="9">
        <v>5015</v>
      </c>
      <c r="AB194" s="9">
        <v>0</v>
      </c>
      <c r="AC194" s="9">
        <v>198</v>
      </c>
      <c r="AD194" s="9">
        <v>292</v>
      </c>
      <c r="AE194" s="9">
        <v>0</v>
      </c>
      <c r="AF194" s="9">
        <v>0</v>
      </c>
      <c r="AG194" s="9">
        <v>259</v>
      </c>
      <c r="AH194" s="9">
        <v>838</v>
      </c>
      <c r="AI194" s="9">
        <v>283</v>
      </c>
      <c r="AJ194" s="9">
        <v>560</v>
      </c>
      <c r="AK194" s="9">
        <v>0</v>
      </c>
      <c r="AL194" s="10">
        <v>30</v>
      </c>
    </row>
    <row r="195" spans="1:38" x14ac:dyDescent="0.25">
      <c r="A195" s="4">
        <v>194</v>
      </c>
      <c r="B195" s="5" t="s">
        <v>421</v>
      </c>
      <c r="C195" s="4" t="s">
        <v>422</v>
      </c>
      <c r="D195" s="13">
        <f>_xlfn.XLOOKUP(Table1[[#This Row],[Country / Territory]],[1]!Table9[Country],[1]!Table9[Total Pop],"None",0)</f>
        <v>1354831</v>
      </c>
      <c r="E195" s="13">
        <f>_xlfn.XLOOKUP(Table1[[#This Row],[Country / Territory]],[1]!Table9[Country],[1]!Table9[Total F],"None",0)</f>
        <v>687263</v>
      </c>
      <c r="F195" s="13">
        <f>_xlfn.XLOOKUP(Table1[[#This Row],[Country / Territory]],[1]!Table9[Country],[1]!Table9[Total M],"None",0)</f>
        <v>667568</v>
      </c>
      <c r="G195" s="11">
        <v>12181</v>
      </c>
      <c r="H195" s="11">
        <v>34</v>
      </c>
      <c r="I195" s="11">
        <v>222</v>
      </c>
      <c r="J195" s="11">
        <v>86</v>
      </c>
      <c r="K195" s="11">
        <v>140</v>
      </c>
      <c r="L195" s="11">
        <v>0</v>
      </c>
      <c r="M195" s="11">
        <v>77</v>
      </c>
      <c r="N195" s="11">
        <v>270</v>
      </c>
      <c r="O195" s="11">
        <v>38</v>
      </c>
      <c r="P195" s="11">
        <v>458</v>
      </c>
      <c r="Q195" s="11">
        <v>0</v>
      </c>
      <c r="R195" s="11">
        <v>42</v>
      </c>
      <c r="S195" s="11">
        <v>4545</v>
      </c>
      <c r="T195" s="11">
        <v>601</v>
      </c>
      <c r="U195" s="11">
        <v>287</v>
      </c>
      <c r="V195" s="11">
        <v>201</v>
      </c>
      <c r="W195" s="11">
        <v>60</v>
      </c>
      <c r="X195" s="11">
        <v>5</v>
      </c>
      <c r="Y195" s="11">
        <v>108</v>
      </c>
      <c r="Z195" s="11">
        <v>0</v>
      </c>
      <c r="AA195" s="11">
        <v>2170</v>
      </c>
      <c r="AB195" s="11">
        <v>0</v>
      </c>
      <c r="AC195" s="11">
        <v>750</v>
      </c>
      <c r="AD195" s="11">
        <v>601</v>
      </c>
      <c r="AE195" s="11">
        <v>0</v>
      </c>
      <c r="AF195" s="11">
        <v>112</v>
      </c>
      <c r="AG195" s="11">
        <v>208</v>
      </c>
      <c r="AH195" s="11">
        <v>264</v>
      </c>
      <c r="AI195" s="11">
        <v>275</v>
      </c>
      <c r="AJ195" s="11">
        <v>558</v>
      </c>
      <c r="AK195" s="11">
        <v>69</v>
      </c>
      <c r="AL195" s="12">
        <v>0</v>
      </c>
    </row>
    <row r="196" spans="1:38" x14ac:dyDescent="0.25">
      <c r="A196" s="2">
        <v>195</v>
      </c>
      <c r="B196" s="3" t="s">
        <v>423</v>
      </c>
      <c r="C196" s="2" t="s">
        <v>424</v>
      </c>
      <c r="D196" s="13">
        <f>_xlfn.XLOOKUP(Table1[[#This Row],[Country / Territory]],[1]!Table9[Country],[1]!Table9[Total Pop],"None",0)</f>
        <v>1482452</v>
      </c>
      <c r="E196" s="13">
        <f>_xlfn.XLOOKUP(Table1[[#This Row],[Country / Territory]],[1]!Table9[Country],[1]!Table9[Total F],"None",0)</f>
        <v>723053</v>
      </c>
      <c r="F196" s="13">
        <f>_xlfn.XLOOKUP(Table1[[#This Row],[Country / Territory]],[1]!Table9[Country],[1]!Table9[Total M],"None",0)</f>
        <v>759399</v>
      </c>
      <c r="G196" s="9">
        <v>10186</v>
      </c>
      <c r="H196" s="9">
        <v>49</v>
      </c>
      <c r="I196" s="9">
        <v>67</v>
      </c>
      <c r="J196" s="9">
        <v>49</v>
      </c>
      <c r="K196" s="9">
        <v>61</v>
      </c>
      <c r="L196" s="9">
        <v>0</v>
      </c>
      <c r="M196" s="9">
        <v>183</v>
      </c>
      <c r="N196" s="9">
        <v>120</v>
      </c>
      <c r="O196" s="9">
        <v>60</v>
      </c>
      <c r="P196" s="9">
        <v>56</v>
      </c>
      <c r="Q196" s="9">
        <v>0</v>
      </c>
      <c r="R196" s="9">
        <v>264</v>
      </c>
      <c r="S196" s="9">
        <v>3454</v>
      </c>
      <c r="T196" s="9">
        <v>666</v>
      </c>
      <c r="U196" s="9">
        <v>505</v>
      </c>
      <c r="V196" s="9">
        <v>27</v>
      </c>
      <c r="W196" s="9">
        <v>341</v>
      </c>
      <c r="X196" s="9">
        <v>0</v>
      </c>
      <c r="Y196" s="9">
        <v>279</v>
      </c>
      <c r="Z196" s="9">
        <v>0</v>
      </c>
      <c r="AA196" s="9">
        <v>1125</v>
      </c>
      <c r="AB196" s="9">
        <v>0</v>
      </c>
      <c r="AC196" s="9">
        <v>696</v>
      </c>
      <c r="AD196" s="9">
        <v>345</v>
      </c>
      <c r="AE196" s="9">
        <v>0</v>
      </c>
      <c r="AF196" s="9">
        <v>58</v>
      </c>
      <c r="AG196" s="9">
        <v>311</v>
      </c>
      <c r="AH196" s="9">
        <v>706</v>
      </c>
      <c r="AI196" s="9">
        <v>262</v>
      </c>
      <c r="AJ196" s="9">
        <v>457</v>
      </c>
      <c r="AK196" s="9">
        <v>30</v>
      </c>
      <c r="AL196" s="10">
        <v>15</v>
      </c>
    </row>
    <row r="197" spans="1:38" x14ac:dyDescent="0.25">
      <c r="A197" s="4">
        <v>196</v>
      </c>
      <c r="B197" s="5" t="s">
        <v>425</v>
      </c>
      <c r="C197" s="4" t="s">
        <v>426</v>
      </c>
      <c r="D197" s="13">
        <f>_xlfn.XLOOKUP(Table1[[#This Row],[Country / Territory]],[1]!Table9[Country],[1]!Table9[Total Pop],"None",0)</f>
        <v>1611712</v>
      </c>
      <c r="E197" s="13">
        <f>_xlfn.XLOOKUP(Table1[[#This Row],[Country / Territory]],[1]!Table9[Country],[1]!Table9[Total F],"None",0)</f>
        <v>787256</v>
      </c>
      <c r="F197" s="13">
        <f>_xlfn.XLOOKUP(Table1[[#This Row],[Country / Territory]],[1]!Table9[Country],[1]!Table9[Total M],"None",0)</f>
        <v>824456</v>
      </c>
      <c r="G197" s="11">
        <v>8619</v>
      </c>
      <c r="H197" s="11">
        <v>30</v>
      </c>
      <c r="I197" s="11">
        <v>143</v>
      </c>
      <c r="J197" s="11">
        <v>69</v>
      </c>
      <c r="K197" s="11">
        <v>60</v>
      </c>
      <c r="L197" s="11">
        <v>0</v>
      </c>
      <c r="M197" s="11">
        <v>120</v>
      </c>
      <c r="N197" s="11">
        <v>101</v>
      </c>
      <c r="O197" s="11">
        <v>30</v>
      </c>
      <c r="P197" s="11">
        <v>15</v>
      </c>
      <c r="Q197" s="11">
        <v>0</v>
      </c>
      <c r="R197" s="11">
        <v>30</v>
      </c>
      <c r="S197" s="11">
        <v>2851</v>
      </c>
      <c r="T197" s="11">
        <v>328</v>
      </c>
      <c r="U197" s="11">
        <v>246</v>
      </c>
      <c r="V197" s="11">
        <v>17</v>
      </c>
      <c r="W197" s="11">
        <v>100</v>
      </c>
      <c r="X197" s="11">
        <v>41</v>
      </c>
      <c r="Y197" s="11">
        <v>89</v>
      </c>
      <c r="Z197" s="11">
        <v>25</v>
      </c>
      <c r="AA197" s="11">
        <v>1474</v>
      </c>
      <c r="AB197" s="11">
        <v>10</v>
      </c>
      <c r="AC197" s="11">
        <v>970</v>
      </c>
      <c r="AD197" s="11">
        <v>512</v>
      </c>
      <c r="AE197" s="11">
        <v>0</v>
      </c>
      <c r="AF197" s="11">
        <v>60</v>
      </c>
      <c r="AG197" s="11">
        <v>164</v>
      </c>
      <c r="AH197" s="11">
        <v>612</v>
      </c>
      <c r="AI197" s="11">
        <v>181</v>
      </c>
      <c r="AJ197" s="11">
        <v>341</v>
      </c>
      <c r="AK197" s="11">
        <v>0</v>
      </c>
      <c r="AL197" s="12">
        <v>0</v>
      </c>
    </row>
    <row r="198" spans="1:38" x14ac:dyDescent="0.25">
      <c r="A198" s="2">
        <v>197</v>
      </c>
      <c r="B198" s="3" t="s">
        <v>427</v>
      </c>
      <c r="C198" s="2" t="s">
        <v>428</v>
      </c>
      <c r="D198" s="13">
        <f>_xlfn.XLOOKUP(Table1[[#This Row],[Country / Territory]],[1]!Table9[Country],[1]!Table9[Total Pop],"None",0)</f>
        <v>1651579</v>
      </c>
      <c r="E198" s="13">
        <f>_xlfn.XLOOKUP(Table1[[#This Row],[Country / Territory]],[1]!Table9[Country],[1]!Table9[Total F],"None",0)</f>
        <v>823461</v>
      </c>
      <c r="F198" s="13">
        <f>_xlfn.XLOOKUP(Table1[[#This Row],[Country / Territory]],[1]!Table9[Country],[1]!Table9[Total M],"None",0)</f>
        <v>828118</v>
      </c>
      <c r="G198" s="9">
        <v>7827</v>
      </c>
      <c r="H198" s="9">
        <v>0</v>
      </c>
      <c r="I198" s="9">
        <v>90</v>
      </c>
      <c r="J198" s="9">
        <v>45</v>
      </c>
      <c r="K198" s="9">
        <v>30</v>
      </c>
      <c r="L198" s="9">
        <v>0</v>
      </c>
      <c r="M198" s="9">
        <v>141</v>
      </c>
      <c r="N198" s="9">
        <v>117</v>
      </c>
      <c r="O198" s="9">
        <v>28</v>
      </c>
      <c r="P198" s="9">
        <v>23</v>
      </c>
      <c r="Q198" s="9">
        <v>0</v>
      </c>
      <c r="R198" s="9">
        <v>44</v>
      </c>
      <c r="S198" s="9">
        <v>2340</v>
      </c>
      <c r="T198" s="9">
        <v>281</v>
      </c>
      <c r="U198" s="9">
        <v>111</v>
      </c>
      <c r="V198" s="9">
        <v>56</v>
      </c>
      <c r="W198" s="9">
        <v>265</v>
      </c>
      <c r="X198" s="9">
        <v>5</v>
      </c>
      <c r="Y198" s="9">
        <v>44</v>
      </c>
      <c r="Z198" s="9">
        <v>0</v>
      </c>
      <c r="AA198" s="9">
        <v>1593</v>
      </c>
      <c r="AB198" s="9">
        <v>5</v>
      </c>
      <c r="AC198" s="9">
        <v>524</v>
      </c>
      <c r="AD198" s="9">
        <v>450</v>
      </c>
      <c r="AE198" s="9">
        <v>0</v>
      </c>
      <c r="AF198" s="9">
        <v>30</v>
      </c>
      <c r="AG198" s="9">
        <v>300</v>
      </c>
      <c r="AH198" s="9">
        <v>421</v>
      </c>
      <c r="AI198" s="9">
        <v>367</v>
      </c>
      <c r="AJ198" s="9">
        <v>505</v>
      </c>
      <c r="AK198" s="9">
        <v>12</v>
      </c>
      <c r="AL198" s="10">
        <v>0</v>
      </c>
    </row>
    <row r="199" spans="1:38" x14ac:dyDescent="0.25">
      <c r="A199" s="4">
        <v>198</v>
      </c>
      <c r="B199" s="5" t="s">
        <v>429</v>
      </c>
      <c r="C199" s="4" t="s">
        <v>430</v>
      </c>
      <c r="D199" s="13">
        <f>_xlfn.XLOOKUP(Table1[[#This Row],[Country / Territory]],[1]!Table9[Country],[1]!Table9[Total Pop],"None",0)</f>
        <v>878471</v>
      </c>
      <c r="E199" s="13">
        <f>_xlfn.XLOOKUP(Table1[[#This Row],[Country / Territory]],[1]!Table9[Country],[1]!Table9[Total F],"None",0)</f>
        <v>453195</v>
      </c>
      <c r="F199" s="13">
        <f>_xlfn.XLOOKUP(Table1[[#This Row],[Country / Territory]],[1]!Table9[Country],[1]!Table9[Total M],"None",0)</f>
        <v>425276</v>
      </c>
      <c r="G199" s="11">
        <v>6761</v>
      </c>
      <c r="H199" s="11">
        <v>0</v>
      </c>
      <c r="I199" s="11">
        <v>384</v>
      </c>
      <c r="J199" s="11">
        <v>53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25</v>
      </c>
      <c r="Q199" s="11">
        <v>0</v>
      </c>
      <c r="R199" s="11">
        <v>0</v>
      </c>
      <c r="S199" s="11">
        <v>2309</v>
      </c>
      <c r="T199" s="11">
        <v>170</v>
      </c>
      <c r="U199" s="11">
        <v>30</v>
      </c>
      <c r="V199" s="11">
        <v>0</v>
      </c>
      <c r="W199" s="11">
        <v>103</v>
      </c>
      <c r="X199" s="11">
        <v>0</v>
      </c>
      <c r="Y199" s="11">
        <v>0</v>
      </c>
      <c r="Z199" s="11">
        <v>0</v>
      </c>
      <c r="AA199" s="11">
        <v>2671</v>
      </c>
      <c r="AB199" s="11">
        <v>0</v>
      </c>
      <c r="AC199" s="11">
        <v>111</v>
      </c>
      <c r="AD199" s="11">
        <v>80</v>
      </c>
      <c r="AE199" s="11">
        <v>0</v>
      </c>
      <c r="AF199" s="11">
        <v>0</v>
      </c>
      <c r="AG199" s="11">
        <v>90</v>
      </c>
      <c r="AH199" s="11">
        <v>229</v>
      </c>
      <c r="AI199" s="11">
        <v>192</v>
      </c>
      <c r="AJ199" s="11">
        <v>314</v>
      </c>
      <c r="AK199" s="11">
        <v>0</v>
      </c>
      <c r="AL199" s="12">
        <v>0</v>
      </c>
    </row>
    <row r="200" spans="1:38" x14ac:dyDescent="0.25">
      <c r="A200" s="2">
        <v>199</v>
      </c>
      <c r="B200" s="3" t="s">
        <v>431</v>
      </c>
      <c r="C200" s="2" t="s">
        <v>432</v>
      </c>
      <c r="D200" s="13">
        <f>_xlfn.XLOOKUP(Table1[[#This Row],[Country / Territory]],[1]!Table9[Country],[1]!Table9[Total Pop],"None",0)</f>
        <v>542923</v>
      </c>
      <c r="E200" s="13">
        <f>_xlfn.XLOOKUP(Table1[[#This Row],[Country / Territory]],[1]!Table9[Country],[1]!Table9[Total F],"None",0)</f>
        <v>251368</v>
      </c>
      <c r="F200" s="13">
        <f>_xlfn.XLOOKUP(Table1[[#This Row],[Country / Territory]],[1]!Table9[Country],[1]!Table9[Total M],"None",0)</f>
        <v>291555</v>
      </c>
      <c r="G200" s="9">
        <v>4814</v>
      </c>
      <c r="H200" s="9">
        <v>0</v>
      </c>
      <c r="I200" s="9">
        <v>45</v>
      </c>
      <c r="J200" s="9">
        <v>30</v>
      </c>
      <c r="K200" s="9">
        <v>0</v>
      </c>
      <c r="L200" s="9">
        <v>0</v>
      </c>
      <c r="M200" s="9">
        <v>60</v>
      </c>
      <c r="N200" s="9">
        <v>66</v>
      </c>
      <c r="O200" s="9">
        <v>1</v>
      </c>
      <c r="P200" s="9">
        <v>18</v>
      </c>
      <c r="Q200" s="9">
        <v>0</v>
      </c>
      <c r="R200" s="9">
        <v>30</v>
      </c>
      <c r="S200" s="9">
        <v>1519</v>
      </c>
      <c r="T200" s="9">
        <v>507</v>
      </c>
      <c r="U200" s="9">
        <v>58</v>
      </c>
      <c r="V200" s="9">
        <v>0</v>
      </c>
      <c r="W200" s="9">
        <v>87</v>
      </c>
      <c r="X200" s="9">
        <v>0</v>
      </c>
      <c r="Y200" s="9">
        <v>40</v>
      </c>
      <c r="Z200" s="9">
        <v>0</v>
      </c>
      <c r="AA200" s="9">
        <v>791</v>
      </c>
      <c r="AB200" s="9">
        <v>0</v>
      </c>
      <c r="AC200" s="9">
        <v>453</v>
      </c>
      <c r="AD200" s="9">
        <v>274</v>
      </c>
      <c r="AE200" s="9">
        <v>20</v>
      </c>
      <c r="AF200" s="9">
        <v>0</v>
      </c>
      <c r="AG200" s="9">
        <v>102</v>
      </c>
      <c r="AH200" s="9">
        <v>439</v>
      </c>
      <c r="AI200" s="9">
        <v>93</v>
      </c>
      <c r="AJ200" s="9">
        <v>151</v>
      </c>
      <c r="AK200" s="9">
        <v>30</v>
      </c>
      <c r="AL200" s="10">
        <v>0</v>
      </c>
    </row>
    <row r="201" spans="1:38" x14ac:dyDescent="0.25">
      <c r="A201" s="4">
        <v>200</v>
      </c>
      <c r="B201" s="5" t="s">
        <v>433</v>
      </c>
      <c r="C201" s="4" t="s">
        <v>434</v>
      </c>
      <c r="D201" s="13">
        <f>_xlfn.XLOOKUP(Table1[[#This Row],[Country / Territory]],[1]!Table9[Country],[1]!Table9[Total Pop],"None",0)</f>
        <v>0</v>
      </c>
      <c r="E201" s="13">
        <f>_xlfn.XLOOKUP(Table1[[#This Row],[Country / Territory]],[1]!Table9[Country],[1]!Table9[Total F],"None",0)</f>
        <v>0</v>
      </c>
      <c r="F201" s="13">
        <f>_xlfn.XLOOKUP(Table1[[#This Row],[Country / Territory]],[1]!Table9[Country],[1]!Table9[Total M],"None",0)</f>
        <v>0</v>
      </c>
      <c r="G201" s="11">
        <v>3999</v>
      </c>
      <c r="H201" s="11">
        <v>0</v>
      </c>
      <c r="I201" s="11">
        <v>85</v>
      </c>
      <c r="J201" s="11">
        <v>34</v>
      </c>
      <c r="K201" s="11">
        <v>0</v>
      </c>
      <c r="L201" s="11">
        <v>0</v>
      </c>
      <c r="M201" s="11">
        <v>30</v>
      </c>
      <c r="N201" s="11">
        <v>0</v>
      </c>
      <c r="O201" s="11">
        <v>0</v>
      </c>
      <c r="P201" s="11">
        <v>16</v>
      </c>
      <c r="Q201" s="11">
        <v>0</v>
      </c>
      <c r="R201" s="11">
        <v>3</v>
      </c>
      <c r="S201" s="11">
        <v>1392</v>
      </c>
      <c r="T201" s="11">
        <v>272</v>
      </c>
      <c r="U201" s="11">
        <v>40</v>
      </c>
      <c r="V201" s="11">
        <v>0</v>
      </c>
      <c r="W201" s="11">
        <v>69</v>
      </c>
      <c r="X201" s="11">
        <v>20</v>
      </c>
      <c r="Y201" s="11">
        <v>30</v>
      </c>
      <c r="Z201" s="11">
        <v>0</v>
      </c>
      <c r="AA201" s="11">
        <v>719</v>
      </c>
      <c r="AB201" s="11">
        <v>0</v>
      </c>
      <c r="AC201" s="11">
        <v>617</v>
      </c>
      <c r="AD201" s="11">
        <v>136</v>
      </c>
      <c r="AE201" s="11">
        <v>0</v>
      </c>
      <c r="AF201" s="11">
        <v>0</v>
      </c>
      <c r="AG201" s="11">
        <v>142</v>
      </c>
      <c r="AH201" s="11">
        <v>213</v>
      </c>
      <c r="AI201" s="11">
        <v>60</v>
      </c>
      <c r="AJ201" s="11">
        <v>121</v>
      </c>
      <c r="AK201" s="11">
        <v>0</v>
      </c>
      <c r="AL201" s="12">
        <v>0</v>
      </c>
    </row>
    <row r="202" spans="1:38" x14ac:dyDescent="0.25">
      <c r="A202" s="2">
        <v>201</v>
      </c>
      <c r="B202" s="3" t="s">
        <v>435</v>
      </c>
      <c r="C202" s="2" t="s">
        <v>436</v>
      </c>
      <c r="D202" s="13">
        <f>_xlfn.XLOOKUP(Table1[[#This Row],[Country / Territory]],[1]!Table9[Country],[1]!Table9[Total Pop],"None",0)</f>
        <v>299697</v>
      </c>
      <c r="E202" s="13">
        <f>_xlfn.XLOOKUP(Table1[[#This Row],[Country / Territory]],[1]!Table9[Country],[1]!Table9[Total F],"None",0)</f>
        <v>150069</v>
      </c>
      <c r="F202" s="13">
        <f>_xlfn.XLOOKUP(Table1[[#This Row],[Country / Territory]],[1]!Table9[Country],[1]!Table9[Total M],"None",0)</f>
        <v>149628</v>
      </c>
      <c r="G202" s="9">
        <v>2962</v>
      </c>
      <c r="H202" s="9">
        <v>5</v>
      </c>
      <c r="I202" s="9">
        <v>35</v>
      </c>
      <c r="J202" s="9">
        <v>30</v>
      </c>
      <c r="K202" s="9">
        <v>14</v>
      </c>
      <c r="L202" s="9">
        <v>0</v>
      </c>
      <c r="M202" s="9">
        <v>30</v>
      </c>
      <c r="N202" s="9">
        <v>30</v>
      </c>
      <c r="O202" s="9">
        <v>5</v>
      </c>
      <c r="P202" s="9">
        <v>7</v>
      </c>
      <c r="Q202" s="9">
        <v>0</v>
      </c>
      <c r="R202" s="9">
        <v>46</v>
      </c>
      <c r="S202" s="9">
        <v>1120</v>
      </c>
      <c r="T202" s="9">
        <v>179</v>
      </c>
      <c r="U202" s="9">
        <v>94</v>
      </c>
      <c r="V202" s="9">
        <v>0</v>
      </c>
      <c r="W202" s="9">
        <v>60</v>
      </c>
      <c r="X202" s="9">
        <v>0</v>
      </c>
      <c r="Y202" s="9">
        <v>50</v>
      </c>
      <c r="Z202" s="9">
        <v>0</v>
      </c>
      <c r="AA202" s="9">
        <v>345</v>
      </c>
      <c r="AB202" s="9">
        <v>0</v>
      </c>
      <c r="AC202" s="9">
        <v>264</v>
      </c>
      <c r="AD202" s="9">
        <v>108</v>
      </c>
      <c r="AE202" s="9">
        <v>0</v>
      </c>
      <c r="AF202" s="9">
        <v>14</v>
      </c>
      <c r="AG202" s="9">
        <v>80</v>
      </c>
      <c r="AH202" s="9">
        <v>248</v>
      </c>
      <c r="AI202" s="9">
        <v>60</v>
      </c>
      <c r="AJ202" s="9">
        <v>120</v>
      </c>
      <c r="AK202" s="9">
        <v>18</v>
      </c>
      <c r="AL202" s="10">
        <v>0</v>
      </c>
    </row>
    <row r="203" spans="1:38" x14ac:dyDescent="0.25">
      <c r="A203" s="4">
        <v>202</v>
      </c>
      <c r="B203" s="5" t="s">
        <v>437</v>
      </c>
      <c r="C203" s="4" t="s">
        <v>438</v>
      </c>
      <c r="D203" s="13">
        <f>_xlfn.XLOOKUP(Table1[[#This Row],[Country / Territory]],[1]!Table9[Country],[1]!Table9[Total Pop],"None",0)</f>
        <v>309448</v>
      </c>
      <c r="E203" s="13">
        <f>_xlfn.XLOOKUP(Table1[[#This Row],[Country / Territory]],[1]!Table9[Country],[1]!Table9[Total F],"None",0)</f>
        <v>150392</v>
      </c>
      <c r="F203" s="13">
        <f>_xlfn.XLOOKUP(Table1[[#This Row],[Country / Territory]],[1]!Table9[Country],[1]!Table9[Total M],"None",0)</f>
        <v>159056</v>
      </c>
      <c r="G203" s="11">
        <v>2249</v>
      </c>
      <c r="H203" s="11">
        <v>19</v>
      </c>
      <c r="I203" s="11">
        <v>0</v>
      </c>
      <c r="J203" s="11">
        <v>0</v>
      </c>
      <c r="K203" s="11">
        <v>22</v>
      </c>
      <c r="L203" s="11">
        <v>0</v>
      </c>
      <c r="M203" s="11">
        <v>56</v>
      </c>
      <c r="N203" s="11">
        <v>30</v>
      </c>
      <c r="O203" s="11">
        <v>23</v>
      </c>
      <c r="P203" s="11">
        <v>6</v>
      </c>
      <c r="Q203" s="11">
        <v>0</v>
      </c>
      <c r="R203" s="11">
        <v>30</v>
      </c>
      <c r="S203" s="11">
        <v>772</v>
      </c>
      <c r="T203" s="11">
        <v>183</v>
      </c>
      <c r="U203" s="11">
        <v>140</v>
      </c>
      <c r="V203" s="11">
        <v>0</v>
      </c>
      <c r="W203" s="11">
        <v>73</v>
      </c>
      <c r="X203" s="11">
        <v>0</v>
      </c>
      <c r="Y203" s="11">
        <v>24</v>
      </c>
      <c r="Z203" s="11">
        <v>0</v>
      </c>
      <c r="AA203" s="11">
        <v>226</v>
      </c>
      <c r="AB203" s="11">
        <v>0</v>
      </c>
      <c r="AC203" s="11">
        <v>161</v>
      </c>
      <c r="AD203" s="11">
        <v>81</v>
      </c>
      <c r="AE203" s="11">
        <v>0</v>
      </c>
      <c r="AF203" s="11">
        <v>22</v>
      </c>
      <c r="AG203" s="11">
        <v>109</v>
      </c>
      <c r="AH203" s="11">
        <v>128</v>
      </c>
      <c r="AI203" s="11">
        <v>60</v>
      </c>
      <c r="AJ203" s="11">
        <v>84</v>
      </c>
      <c r="AK203" s="11">
        <v>0</v>
      </c>
      <c r="AL203" s="12">
        <v>0</v>
      </c>
    </row>
    <row r="204" spans="1:38" x14ac:dyDescent="0.25">
      <c r="A204" s="2">
        <v>203</v>
      </c>
      <c r="B204" s="3" t="s">
        <v>439</v>
      </c>
      <c r="C204" s="2" t="s">
        <v>440</v>
      </c>
      <c r="D204" s="13">
        <f>_xlfn.XLOOKUP(Table1[[#This Row],[Country / Territory]],[1]!Table9[Country],[1]!Table9[Total Pop],"None",0)</f>
        <v>0</v>
      </c>
      <c r="E204" s="13">
        <f>_xlfn.XLOOKUP(Table1[[#This Row],[Country / Territory]],[1]!Table9[Country],[1]!Table9[Total F],"None",0)</f>
        <v>0</v>
      </c>
      <c r="F204" s="13">
        <f>_xlfn.XLOOKUP(Table1[[#This Row],[Country / Territory]],[1]!Table9[Country],[1]!Table9[Total M],"None",0)</f>
        <v>0</v>
      </c>
      <c r="G204" s="9">
        <v>591</v>
      </c>
      <c r="H204" s="9">
        <v>0</v>
      </c>
      <c r="I204" s="9">
        <v>12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263</v>
      </c>
      <c r="T204" s="9">
        <v>30</v>
      </c>
      <c r="U204" s="9">
        <v>1</v>
      </c>
      <c r="V204" s="9">
        <v>0</v>
      </c>
      <c r="W204" s="9">
        <v>0</v>
      </c>
      <c r="X204" s="9">
        <v>1</v>
      </c>
      <c r="Y204" s="9">
        <v>0</v>
      </c>
      <c r="Z204" s="9">
        <v>0</v>
      </c>
      <c r="AA204" s="9">
        <v>90</v>
      </c>
      <c r="AB204" s="9">
        <v>0</v>
      </c>
      <c r="AC204" s="9">
        <v>80</v>
      </c>
      <c r="AD204" s="9">
        <v>30</v>
      </c>
      <c r="AE204" s="9">
        <v>0</v>
      </c>
      <c r="AF204" s="9">
        <v>0</v>
      </c>
      <c r="AG204" s="9">
        <v>0</v>
      </c>
      <c r="AH204" s="9">
        <v>45</v>
      </c>
      <c r="AI204" s="9">
        <v>9</v>
      </c>
      <c r="AJ204" s="9">
        <v>30</v>
      </c>
      <c r="AK204" s="9">
        <v>0</v>
      </c>
      <c r="AL204" s="10">
        <v>0</v>
      </c>
    </row>
    <row r="205" spans="1:38" x14ac:dyDescent="0.25">
      <c r="A205" s="4">
        <v>204</v>
      </c>
      <c r="B205" s="5" t="s">
        <v>441</v>
      </c>
      <c r="C205" s="4" t="s">
        <v>442</v>
      </c>
      <c r="D205" s="13">
        <f>_xlfn.XLOOKUP(Table1[[#This Row],[Country / Territory]],[1]!Table9[Country],[1]!Table9[Total Pop],"None",0)</f>
        <v>0</v>
      </c>
      <c r="E205" s="13">
        <f>_xlfn.XLOOKUP(Table1[[#This Row],[Country / Territory]],[1]!Table9[Country],[1]!Table9[Total F],"None",0)</f>
        <v>0</v>
      </c>
      <c r="F205" s="13">
        <f>_xlfn.XLOOKUP(Table1[[#This Row],[Country / Territory]],[1]!Table9[Country],[1]!Table9[Total M],"None",0)</f>
        <v>0</v>
      </c>
      <c r="G205" s="11">
        <v>299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140</v>
      </c>
      <c r="T205" s="11">
        <v>24</v>
      </c>
      <c r="U205" s="11">
        <v>3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49</v>
      </c>
      <c r="AB205" s="11">
        <v>0</v>
      </c>
      <c r="AC205" s="11">
        <v>30</v>
      </c>
      <c r="AD205" s="11">
        <v>6</v>
      </c>
      <c r="AE205" s="11">
        <v>0</v>
      </c>
      <c r="AF205" s="11">
        <v>0</v>
      </c>
      <c r="AG205" s="11">
        <v>0</v>
      </c>
      <c r="AH205" s="11">
        <v>34</v>
      </c>
      <c r="AI205" s="11">
        <v>0</v>
      </c>
      <c r="AJ205" s="11">
        <v>13</v>
      </c>
      <c r="AK205" s="11">
        <v>0</v>
      </c>
      <c r="AL205" s="12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stats by 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Musa Mariama</cp:lastModifiedBy>
  <dcterms:created xsi:type="dcterms:W3CDTF">2026-05-31T13:52:50Z</dcterms:created>
  <dcterms:modified xsi:type="dcterms:W3CDTF">2026-05-31T17:35:45Z</dcterms:modified>
</cp:coreProperties>
</file>